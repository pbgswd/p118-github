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526"/>
  <workbookPr showObjects="none" showInkAnnotation="0" codeName="ThisWorkbook" autoCompressPictures="0"/>
  <bookViews>
    <workbookView xWindow="160" yWindow="0" windowWidth="28260" windowHeight="19820"/>
  </bookViews>
  <sheets>
    <sheet name="MASTER_2015" sheetId="1" r:id="rId1"/>
    <sheet name="Module1" sheetId="2" state="veryHidden" r:id=""/>
  </sheets>
  <definedNames>
    <definedName name="AC">MASTER_2015!$P$32</definedName>
    <definedName name="AE">MASTER_2015!$P$36</definedName>
    <definedName name="AF">MASTER_2015!$P$50</definedName>
    <definedName name="AH">MASTER_2015!$P$64</definedName>
    <definedName name="AM">MASTER_2015!$P$61</definedName>
    <definedName name="AP">MASTER_2015!$P$43</definedName>
    <definedName name="AS">MASTER_2015!$P$40</definedName>
    <definedName name="AV">MASTER_2015!$P$46</definedName>
    <definedName name="AW">MASTER_2015!$P$57</definedName>
    <definedName name="C_">MASTER_2015!$P$33</definedName>
    <definedName name="C_L">MASTER_2015!#REF!</definedName>
    <definedName name="CL">MASTER_2015!$P$52</definedName>
    <definedName name="CONTINGENCY">MASTER_2015!$Q$6</definedName>
    <definedName name="CPP">MASTER_2015!$Q$3</definedName>
    <definedName name="E">MASTER_2015!$P$37</definedName>
    <definedName name="EI">MASTER_2015!$Q$4</definedName>
    <definedName name="F">MASTER_2015!$P$51</definedName>
    <definedName name="FS">MASTER_2015!$P$38</definedName>
    <definedName name="GR">MASTER_2015!$P$54</definedName>
    <definedName name="H">MASTER_2015!$P$65</definedName>
    <definedName name="HC">MASTER_2015!$P$31</definedName>
    <definedName name="HC_2">MASTER_2015!$P$62</definedName>
    <definedName name="HE">MASTER_2015!$P$35</definedName>
    <definedName name="HE_2">MASTER_2015!$P$63</definedName>
    <definedName name="HF">MASTER_2015!$P$49</definedName>
    <definedName name="HH">MASTER_2015!$P$63</definedName>
    <definedName name="HM">MASTER_2015!$P$60</definedName>
    <definedName name="HP">MASTER_2015!$P$42</definedName>
    <definedName name="HR">MASTER_2015!$P$53</definedName>
    <definedName name="HS">MASTER_2015!$P$39</definedName>
    <definedName name="HS_2">MASTER_2015!$P$42</definedName>
    <definedName name="HS_C">MASTER_2015!$P$64</definedName>
    <definedName name="HV">MASTER_2015!$P$45</definedName>
    <definedName name="HW">MASTER_2015!$P$56</definedName>
    <definedName name="M">MASTER_2015!$P$62</definedName>
    <definedName name="M_U">MASTER_2015!$P$60</definedName>
    <definedName name="MU">MASTER_2015!$P$60</definedName>
    <definedName name="P">MASTER_2015!$P$44</definedName>
    <definedName name="PC">MASTER_2015!$P$30</definedName>
    <definedName name="PE">MASTER_2015!$P$34</definedName>
    <definedName name="PR">MASTER_2015!$P$55</definedName>
    <definedName name="_xlnm.Print_Area" localSheetId="0">MASTER_2015!$A$1:$T$70</definedName>
    <definedName name="RETRO">MASTER_2015!$Q$5</definedName>
    <definedName name="S">MASTER_2015!$P$41</definedName>
    <definedName name="SW">MASTER_2015!$P$59</definedName>
    <definedName name="V">MASTER_2015!$P$47</definedName>
    <definedName name="VPR">MASTER_2015!$P$48</definedName>
    <definedName name="W">MASTER_2015!$P$58</definedName>
    <definedName name="WCB">MASTER_2015!$Q$2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0" i="1" l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3" i="1"/>
  <c r="L183" i="1"/>
  <c r="M183" i="1"/>
  <c r="K184" i="1"/>
  <c r="L184" i="1"/>
  <c r="M184" i="1"/>
  <c r="K185" i="1"/>
  <c r="L185" i="1"/>
  <c r="M185" i="1"/>
  <c r="K186" i="1"/>
  <c r="L186" i="1"/>
  <c r="M186" i="1"/>
  <c r="K187" i="1"/>
  <c r="L187" i="1"/>
  <c r="M187" i="1"/>
  <c r="K188" i="1"/>
  <c r="L188" i="1"/>
  <c r="M188" i="1"/>
  <c r="K189" i="1"/>
  <c r="L189" i="1"/>
  <c r="M189" i="1"/>
  <c r="K190" i="1"/>
  <c r="L190" i="1"/>
  <c r="M190" i="1"/>
  <c r="K191" i="1"/>
  <c r="L191" i="1"/>
  <c r="M191" i="1"/>
  <c r="K192" i="1"/>
  <c r="L192" i="1"/>
  <c r="M192" i="1"/>
  <c r="K193" i="1"/>
  <c r="L193" i="1"/>
  <c r="M193" i="1"/>
  <c r="K194" i="1"/>
  <c r="L194" i="1"/>
  <c r="M194" i="1"/>
  <c r="K195" i="1"/>
  <c r="L195" i="1"/>
  <c r="M195" i="1"/>
  <c r="K196" i="1"/>
  <c r="L196" i="1"/>
  <c r="M196" i="1"/>
  <c r="K197" i="1"/>
  <c r="L197" i="1"/>
  <c r="M197" i="1"/>
  <c r="K198" i="1"/>
  <c r="L198" i="1"/>
  <c r="M198" i="1"/>
  <c r="K199" i="1"/>
  <c r="L199" i="1"/>
  <c r="M199" i="1"/>
  <c r="K200" i="1"/>
  <c r="L200" i="1"/>
  <c r="M200" i="1"/>
  <c r="K201" i="1"/>
  <c r="L201" i="1"/>
  <c r="M201" i="1"/>
  <c r="K202" i="1"/>
  <c r="L202" i="1"/>
  <c r="M202" i="1"/>
  <c r="K203" i="1"/>
  <c r="L203" i="1"/>
  <c r="M203" i="1"/>
  <c r="K204" i="1"/>
  <c r="L204" i="1"/>
  <c r="M204" i="1"/>
  <c r="K205" i="1"/>
  <c r="L205" i="1"/>
  <c r="M205" i="1"/>
  <c r="K206" i="1"/>
  <c r="L206" i="1"/>
  <c r="M206" i="1"/>
  <c r="K207" i="1"/>
  <c r="L207" i="1"/>
  <c r="M207" i="1"/>
  <c r="K208" i="1"/>
  <c r="L208" i="1"/>
  <c r="M208" i="1"/>
  <c r="K209" i="1"/>
  <c r="L209" i="1"/>
  <c r="M209" i="1"/>
  <c r="K210" i="1"/>
  <c r="L210" i="1"/>
  <c r="M210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7" i="1"/>
  <c r="L217" i="1"/>
  <c r="M217" i="1"/>
  <c r="K218" i="1"/>
  <c r="L218" i="1"/>
  <c r="M218" i="1"/>
  <c r="K219" i="1"/>
  <c r="L219" i="1"/>
  <c r="M219" i="1"/>
  <c r="K220" i="1"/>
  <c r="L220" i="1"/>
  <c r="M220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5" i="1"/>
  <c r="L225" i="1"/>
  <c r="M225" i="1"/>
  <c r="K226" i="1"/>
  <c r="L226" i="1"/>
  <c r="M226" i="1"/>
  <c r="K227" i="1"/>
  <c r="L227" i="1"/>
  <c r="M227" i="1"/>
  <c r="K228" i="1"/>
  <c r="L228" i="1"/>
  <c r="M228" i="1"/>
  <c r="K229" i="1"/>
  <c r="L229" i="1"/>
  <c r="M229" i="1"/>
  <c r="K230" i="1"/>
  <c r="L230" i="1"/>
  <c r="M230" i="1"/>
  <c r="K231" i="1"/>
  <c r="L231" i="1"/>
  <c r="M231" i="1"/>
  <c r="K232" i="1"/>
  <c r="L232" i="1"/>
  <c r="M232" i="1"/>
  <c r="K233" i="1"/>
  <c r="L233" i="1"/>
  <c r="M233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1" i="1"/>
  <c r="L241" i="1"/>
  <c r="M241" i="1"/>
  <c r="K242" i="1"/>
  <c r="L242" i="1"/>
  <c r="M242" i="1"/>
  <c r="K243" i="1"/>
  <c r="L243" i="1"/>
  <c r="M243" i="1"/>
  <c r="K244" i="1"/>
  <c r="L244" i="1"/>
  <c r="M244" i="1"/>
  <c r="K245" i="1"/>
  <c r="L245" i="1"/>
  <c r="M245" i="1"/>
  <c r="K246" i="1"/>
  <c r="L246" i="1"/>
  <c r="M246" i="1"/>
  <c r="K247" i="1"/>
  <c r="L247" i="1"/>
  <c r="M247" i="1"/>
  <c r="K248" i="1"/>
  <c r="L248" i="1"/>
  <c r="M248" i="1"/>
  <c r="K249" i="1"/>
  <c r="L249" i="1"/>
  <c r="M249" i="1"/>
  <c r="K250" i="1"/>
  <c r="L250" i="1"/>
  <c r="M250" i="1"/>
  <c r="K251" i="1"/>
  <c r="L251" i="1"/>
  <c r="M251" i="1"/>
  <c r="K252" i="1"/>
  <c r="L252" i="1"/>
  <c r="M252" i="1"/>
  <c r="K253" i="1"/>
  <c r="L253" i="1"/>
  <c r="M253" i="1"/>
  <c r="K254" i="1"/>
  <c r="L254" i="1"/>
  <c r="M254" i="1"/>
  <c r="K255" i="1"/>
  <c r="L255" i="1"/>
  <c r="M255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1" i="1"/>
  <c r="L261" i="1"/>
  <c r="M261" i="1"/>
  <c r="K262" i="1"/>
  <c r="L262" i="1"/>
  <c r="M262" i="1"/>
  <c r="K263" i="1"/>
  <c r="L263" i="1"/>
  <c r="M263" i="1"/>
  <c r="K264" i="1"/>
  <c r="L264" i="1"/>
  <c r="M264" i="1"/>
  <c r="K265" i="1"/>
  <c r="L265" i="1"/>
  <c r="M265" i="1"/>
  <c r="K266" i="1"/>
  <c r="L266" i="1"/>
  <c r="M266" i="1"/>
  <c r="K267" i="1"/>
  <c r="L267" i="1"/>
  <c r="M267" i="1"/>
  <c r="K268" i="1"/>
  <c r="L268" i="1"/>
  <c r="M268" i="1"/>
  <c r="K269" i="1"/>
  <c r="L269" i="1"/>
  <c r="M269" i="1"/>
  <c r="K270" i="1"/>
  <c r="L270" i="1"/>
  <c r="M270" i="1"/>
  <c r="K271" i="1"/>
  <c r="L271" i="1"/>
  <c r="M271" i="1"/>
  <c r="K272" i="1"/>
  <c r="L272" i="1"/>
  <c r="M272" i="1"/>
  <c r="K273" i="1"/>
  <c r="L273" i="1"/>
  <c r="M273" i="1"/>
  <c r="K274" i="1"/>
  <c r="L274" i="1"/>
  <c r="M274" i="1"/>
  <c r="K275" i="1"/>
  <c r="L275" i="1"/>
  <c r="M275" i="1"/>
  <c r="K276" i="1"/>
  <c r="L276" i="1"/>
  <c r="M276" i="1"/>
  <c r="K277" i="1"/>
  <c r="L277" i="1"/>
  <c r="M277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M4" i="1"/>
  <c r="M5" i="1"/>
  <c r="M6" i="1"/>
  <c r="I30" i="1"/>
  <c r="N30" i="1"/>
  <c r="I31" i="1"/>
  <c r="N31" i="1"/>
  <c r="I32" i="1"/>
  <c r="N32" i="1"/>
  <c r="I33" i="1"/>
  <c r="N33" i="1"/>
  <c r="I34" i="1"/>
  <c r="N34" i="1"/>
  <c r="I35" i="1"/>
  <c r="N35" i="1"/>
  <c r="I36" i="1"/>
  <c r="N36" i="1"/>
  <c r="I37" i="1"/>
  <c r="N37" i="1"/>
  <c r="I38" i="1"/>
  <c r="N38" i="1"/>
  <c r="I39" i="1"/>
  <c r="J39" i="1"/>
  <c r="I40" i="1"/>
  <c r="J40" i="1"/>
  <c r="I41" i="1"/>
  <c r="J41" i="1"/>
  <c r="I42" i="1"/>
  <c r="J42" i="1"/>
  <c r="I43" i="1"/>
  <c r="N43" i="1"/>
  <c r="J43" i="1"/>
  <c r="I44" i="1"/>
  <c r="J44" i="1"/>
  <c r="I45" i="1"/>
  <c r="J45" i="1"/>
  <c r="I46" i="1"/>
  <c r="N46" i="1"/>
  <c r="I47" i="1"/>
  <c r="J47" i="1"/>
  <c r="I48" i="1"/>
  <c r="N48" i="1"/>
  <c r="J48" i="1"/>
  <c r="I49" i="1"/>
  <c r="J49" i="1"/>
  <c r="I50" i="1"/>
  <c r="J50" i="1"/>
  <c r="I51" i="1"/>
  <c r="N51" i="1"/>
  <c r="J51" i="1"/>
  <c r="I52" i="1"/>
  <c r="J52" i="1"/>
  <c r="I53" i="1"/>
  <c r="N53" i="1"/>
  <c r="I56" i="1"/>
  <c r="J56" i="1"/>
  <c r="I57" i="1"/>
  <c r="J57" i="1"/>
  <c r="I58" i="1"/>
  <c r="N58" i="1"/>
  <c r="I59" i="1"/>
  <c r="J59" i="1"/>
  <c r="I60" i="1"/>
  <c r="J60" i="1"/>
  <c r="N41" i="1"/>
  <c r="N42" i="1"/>
  <c r="N44" i="1"/>
  <c r="N49" i="1"/>
  <c r="N50" i="1"/>
  <c r="N52" i="1"/>
  <c r="I54" i="1"/>
  <c r="N54" i="1"/>
  <c r="I55" i="1"/>
  <c r="N55" i="1"/>
  <c r="N56" i="1"/>
  <c r="N59" i="1"/>
  <c r="N60" i="1"/>
  <c r="I61" i="1"/>
  <c r="N61" i="1"/>
  <c r="I66" i="1"/>
  <c r="N66" i="1"/>
  <c r="I67" i="1"/>
  <c r="N67" i="1"/>
  <c r="I68" i="1"/>
  <c r="N68" i="1"/>
  <c r="I69" i="1"/>
  <c r="N69" i="1"/>
  <c r="I70" i="1"/>
  <c r="J70" i="1"/>
  <c r="I73" i="1"/>
  <c r="J73" i="1"/>
  <c r="N73" i="1"/>
  <c r="I74" i="1"/>
  <c r="J74" i="1"/>
  <c r="I75" i="1"/>
  <c r="N75" i="1"/>
  <c r="I76" i="1"/>
  <c r="N76" i="1"/>
  <c r="I77" i="1"/>
  <c r="N77" i="1"/>
  <c r="I78" i="1"/>
  <c r="N78" i="1"/>
  <c r="I79" i="1"/>
  <c r="N79" i="1"/>
  <c r="I80" i="1"/>
  <c r="J80" i="1"/>
  <c r="I81" i="1"/>
  <c r="J81" i="1"/>
  <c r="N81" i="1"/>
  <c r="I82" i="1"/>
  <c r="J82" i="1"/>
  <c r="I83" i="1"/>
  <c r="N83" i="1"/>
  <c r="I84" i="1"/>
  <c r="N84" i="1"/>
  <c r="I85" i="1"/>
  <c r="N85" i="1"/>
  <c r="I86" i="1"/>
  <c r="N86" i="1"/>
  <c r="I87" i="1"/>
  <c r="N87" i="1"/>
  <c r="I62" i="1"/>
  <c r="J62" i="1"/>
  <c r="I63" i="1"/>
  <c r="J63" i="1"/>
  <c r="N63" i="1"/>
  <c r="I64" i="1"/>
  <c r="N64" i="1"/>
  <c r="I65" i="1"/>
  <c r="N65" i="1"/>
  <c r="I88" i="1"/>
  <c r="J88" i="1"/>
  <c r="I89" i="1"/>
  <c r="J89" i="1"/>
  <c r="N89" i="1"/>
  <c r="I90" i="1"/>
  <c r="J90" i="1"/>
  <c r="I91" i="1"/>
  <c r="N91" i="1"/>
  <c r="I92" i="1"/>
  <c r="N92" i="1"/>
  <c r="I93" i="1"/>
  <c r="N93" i="1"/>
  <c r="I94" i="1"/>
  <c r="N94" i="1"/>
  <c r="I95" i="1"/>
  <c r="N95" i="1"/>
  <c r="I96" i="1"/>
  <c r="J96" i="1"/>
  <c r="I97" i="1"/>
  <c r="J97" i="1"/>
  <c r="N97" i="1"/>
  <c r="I98" i="1"/>
  <c r="J98" i="1"/>
  <c r="I99" i="1"/>
  <c r="N99" i="1"/>
  <c r="I100" i="1"/>
  <c r="N100" i="1"/>
  <c r="I101" i="1"/>
  <c r="N101" i="1"/>
  <c r="I102" i="1"/>
  <c r="N102" i="1"/>
  <c r="I103" i="1"/>
  <c r="N103" i="1"/>
  <c r="I104" i="1"/>
  <c r="J104" i="1"/>
  <c r="I105" i="1"/>
  <c r="J105" i="1"/>
  <c r="N105" i="1"/>
  <c r="I106" i="1"/>
  <c r="J106" i="1"/>
  <c r="I107" i="1"/>
  <c r="N107" i="1"/>
  <c r="I108" i="1"/>
  <c r="N108" i="1"/>
  <c r="I109" i="1"/>
  <c r="N109" i="1"/>
  <c r="I110" i="1"/>
  <c r="N110" i="1"/>
  <c r="I111" i="1"/>
  <c r="N111" i="1"/>
  <c r="I112" i="1"/>
  <c r="J112" i="1"/>
  <c r="I113" i="1"/>
  <c r="J113" i="1"/>
  <c r="N113" i="1"/>
  <c r="I114" i="1"/>
  <c r="J114" i="1"/>
  <c r="I115" i="1"/>
  <c r="N115" i="1"/>
  <c r="I116" i="1"/>
  <c r="N116" i="1"/>
  <c r="I117" i="1"/>
  <c r="N117" i="1"/>
  <c r="I118" i="1"/>
  <c r="N118" i="1"/>
  <c r="I119" i="1"/>
  <c r="N119" i="1"/>
  <c r="I120" i="1"/>
  <c r="J120" i="1"/>
  <c r="I121" i="1"/>
  <c r="J121" i="1"/>
  <c r="N121" i="1"/>
  <c r="I122" i="1"/>
  <c r="J122" i="1"/>
  <c r="I123" i="1"/>
  <c r="N123" i="1"/>
  <c r="I124" i="1"/>
  <c r="N124" i="1"/>
  <c r="I125" i="1"/>
  <c r="N125" i="1"/>
  <c r="I126" i="1"/>
  <c r="N126" i="1"/>
  <c r="I127" i="1"/>
  <c r="N127" i="1"/>
  <c r="I128" i="1"/>
  <c r="J128" i="1"/>
  <c r="I129" i="1"/>
  <c r="J129" i="1"/>
  <c r="N129" i="1"/>
  <c r="I130" i="1"/>
  <c r="J130" i="1"/>
  <c r="I131" i="1"/>
  <c r="N131" i="1"/>
  <c r="I132" i="1"/>
  <c r="N132" i="1"/>
  <c r="I133" i="1"/>
  <c r="N133" i="1"/>
  <c r="I134" i="1"/>
  <c r="N134" i="1"/>
  <c r="I135" i="1"/>
  <c r="N135" i="1"/>
  <c r="I136" i="1"/>
  <c r="J136" i="1"/>
  <c r="I137" i="1"/>
  <c r="J137" i="1"/>
  <c r="N137" i="1"/>
  <c r="I138" i="1"/>
  <c r="J138" i="1"/>
  <c r="I139" i="1"/>
  <c r="N139" i="1"/>
  <c r="I140" i="1"/>
  <c r="N140" i="1"/>
  <c r="I141" i="1"/>
  <c r="N141" i="1"/>
  <c r="I142" i="1"/>
  <c r="N142" i="1"/>
  <c r="I145" i="1"/>
  <c r="N145" i="1"/>
  <c r="I146" i="1"/>
  <c r="J146" i="1"/>
  <c r="I147" i="1"/>
  <c r="J147" i="1"/>
  <c r="N147" i="1"/>
  <c r="I148" i="1"/>
  <c r="J148" i="1"/>
  <c r="I149" i="1"/>
  <c r="N149" i="1"/>
  <c r="I150" i="1"/>
  <c r="N150" i="1"/>
  <c r="I151" i="1"/>
  <c r="N151" i="1"/>
  <c r="I152" i="1"/>
  <c r="N152" i="1"/>
  <c r="I153" i="1"/>
  <c r="N153" i="1"/>
  <c r="I154" i="1"/>
  <c r="J154" i="1"/>
  <c r="I155" i="1"/>
  <c r="J155" i="1"/>
  <c r="N155" i="1"/>
  <c r="I156" i="1"/>
  <c r="J156" i="1"/>
  <c r="I157" i="1"/>
  <c r="N157" i="1"/>
  <c r="I158" i="1"/>
  <c r="N158" i="1"/>
  <c r="I159" i="1"/>
  <c r="N159" i="1"/>
  <c r="I160" i="1"/>
  <c r="N160" i="1"/>
  <c r="I161" i="1"/>
  <c r="N161" i="1"/>
  <c r="I162" i="1"/>
  <c r="J162" i="1"/>
  <c r="I163" i="1"/>
  <c r="J163" i="1"/>
  <c r="N163" i="1"/>
  <c r="I164" i="1"/>
  <c r="J164" i="1"/>
  <c r="I165" i="1"/>
  <c r="N165" i="1"/>
  <c r="I166" i="1"/>
  <c r="J166" i="1"/>
  <c r="I167" i="1"/>
  <c r="N167" i="1"/>
  <c r="I168" i="1"/>
  <c r="N168" i="1"/>
  <c r="I169" i="1"/>
  <c r="N169" i="1"/>
  <c r="I170" i="1"/>
  <c r="J170" i="1"/>
  <c r="I171" i="1"/>
  <c r="J171" i="1"/>
  <c r="N171" i="1"/>
  <c r="I172" i="1"/>
  <c r="J172" i="1"/>
  <c r="I173" i="1"/>
  <c r="N173" i="1"/>
  <c r="I174" i="1"/>
  <c r="J174" i="1"/>
  <c r="I175" i="1"/>
  <c r="N175" i="1"/>
  <c r="I176" i="1"/>
  <c r="N176" i="1"/>
  <c r="I177" i="1"/>
  <c r="N177" i="1"/>
  <c r="I178" i="1"/>
  <c r="J178" i="1"/>
  <c r="I179" i="1"/>
  <c r="J179" i="1"/>
  <c r="N179" i="1"/>
  <c r="I180" i="1"/>
  <c r="J180" i="1"/>
  <c r="I181" i="1"/>
  <c r="N181" i="1"/>
  <c r="I182" i="1"/>
  <c r="N182" i="1"/>
  <c r="I183" i="1"/>
  <c r="N183" i="1"/>
  <c r="I184" i="1"/>
  <c r="N184" i="1"/>
  <c r="I185" i="1"/>
  <c r="N185" i="1"/>
  <c r="I186" i="1"/>
  <c r="J186" i="1"/>
  <c r="I187" i="1"/>
  <c r="J187" i="1"/>
  <c r="N187" i="1"/>
  <c r="I188" i="1"/>
  <c r="J188" i="1"/>
  <c r="I189" i="1"/>
  <c r="N189" i="1"/>
  <c r="I190" i="1"/>
  <c r="N190" i="1"/>
  <c r="I191" i="1"/>
  <c r="N191" i="1"/>
  <c r="I192" i="1"/>
  <c r="N192" i="1"/>
  <c r="I193" i="1"/>
  <c r="N193" i="1"/>
  <c r="I194" i="1"/>
  <c r="J194" i="1"/>
  <c r="I195" i="1"/>
  <c r="J195" i="1"/>
  <c r="N195" i="1"/>
  <c r="I196" i="1"/>
  <c r="J196" i="1"/>
  <c r="I197" i="1"/>
  <c r="N197" i="1"/>
  <c r="I198" i="1"/>
  <c r="N198" i="1"/>
  <c r="I199" i="1"/>
  <c r="N199" i="1"/>
  <c r="I200" i="1"/>
  <c r="N200" i="1"/>
  <c r="I201" i="1"/>
  <c r="N201" i="1"/>
  <c r="I202" i="1"/>
  <c r="J202" i="1"/>
  <c r="I203" i="1"/>
  <c r="J203" i="1"/>
  <c r="N203" i="1"/>
  <c r="I204" i="1"/>
  <c r="J204" i="1"/>
  <c r="I205" i="1"/>
  <c r="N205" i="1"/>
  <c r="I206" i="1"/>
  <c r="J206" i="1"/>
  <c r="I207" i="1"/>
  <c r="N207" i="1"/>
  <c r="I208" i="1"/>
  <c r="N208" i="1"/>
  <c r="I209" i="1"/>
  <c r="N209" i="1"/>
  <c r="I210" i="1"/>
  <c r="J210" i="1"/>
  <c r="I211" i="1"/>
  <c r="J211" i="1"/>
  <c r="N211" i="1"/>
  <c r="I212" i="1"/>
  <c r="J212" i="1"/>
  <c r="I213" i="1"/>
  <c r="N213" i="1"/>
  <c r="I214" i="1"/>
  <c r="J214" i="1"/>
  <c r="I217" i="1"/>
  <c r="N217" i="1"/>
  <c r="I218" i="1"/>
  <c r="N218" i="1"/>
  <c r="I219" i="1"/>
  <c r="N219" i="1"/>
  <c r="I220" i="1"/>
  <c r="J220" i="1"/>
  <c r="I221" i="1"/>
  <c r="J221" i="1"/>
  <c r="N221" i="1"/>
  <c r="I222" i="1"/>
  <c r="J222" i="1"/>
  <c r="I223" i="1"/>
  <c r="N223" i="1"/>
  <c r="I224" i="1"/>
  <c r="N224" i="1"/>
  <c r="I225" i="1"/>
  <c r="N225" i="1"/>
  <c r="I226" i="1"/>
  <c r="N226" i="1"/>
  <c r="I227" i="1"/>
  <c r="N227" i="1"/>
  <c r="I228" i="1"/>
  <c r="J228" i="1"/>
  <c r="I229" i="1"/>
  <c r="J229" i="1"/>
  <c r="N229" i="1"/>
  <c r="I230" i="1"/>
  <c r="J230" i="1"/>
  <c r="I231" i="1"/>
  <c r="N231" i="1"/>
  <c r="I232" i="1"/>
  <c r="J232" i="1"/>
  <c r="I233" i="1"/>
  <c r="N233" i="1"/>
  <c r="I234" i="1"/>
  <c r="N234" i="1"/>
  <c r="I235" i="1"/>
  <c r="N235" i="1"/>
  <c r="I236" i="1"/>
  <c r="J236" i="1"/>
  <c r="I237" i="1"/>
  <c r="J237" i="1"/>
  <c r="N237" i="1"/>
  <c r="I238" i="1"/>
  <c r="J238" i="1"/>
  <c r="I239" i="1"/>
  <c r="N239" i="1"/>
  <c r="I240" i="1"/>
  <c r="J240" i="1"/>
  <c r="I241" i="1"/>
  <c r="N241" i="1"/>
  <c r="I242" i="1"/>
  <c r="N242" i="1"/>
  <c r="I243" i="1"/>
  <c r="N243" i="1"/>
  <c r="I244" i="1"/>
  <c r="J244" i="1"/>
  <c r="I245" i="1"/>
  <c r="J245" i="1"/>
  <c r="N245" i="1"/>
  <c r="I246" i="1"/>
  <c r="J246" i="1"/>
  <c r="I247" i="1"/>
  <c r="N247" i="1"/>
  <c r="I248" i="1"/>
  <c r="N248" i="1"/>
  <c r="I249" i="1"/>
  <c r="N249" i="1"/>
  <c r="I250" i="1"/>
  <c r="N250" i="1"/>
  <c r="I251" i="1"/>
  <c r="N251" i="1"/>
  <c r="I252" i="1"/>
  <c r="J252" i="1"/>
  <c r="I253" i="1"/>
  <c r="J253" i="1"/>
  <c r="N253" i="1"/>
  <c r="I254" i="1"/>
  <c r="J254" i="1"/>
  <c r="I255" i="1"/>
  <c r="N255" i="1"/>
  <c r="I256" i="1"/>
  <c r="J256" i="1"/>
  <c r="I257" i="1"/>
  <c r="N257" i="1"/>
  <c r="I258" i="1"/>
  <c r="N258" i="1"/>
  <c r="I259" i="1"/>
  <c r="N259" i="1"/>
  <c r="I260" i="1"/>
  <c r="J260" i="1"/>
  <c r="I261" i="1"/>
  <c r="J261" i="1"/>
  <c r="N261" i="1"/>
  <c r="I262" i="1"/>
  <c r="J262" i="1"/>
  <c r="I263" i="1"/>
  <c r="N263" i="1"/>
  <c r="I264" i="1"/>
  <c r="J264" i="1"/>
  <c r="I265" i="1"/>
  <c r="N265" i="1"/>
  <c r="I266" i="1"/>
  <c r="N266" i="1"/>
  <c r="I267" i="1"/>
  <c r="N267" i="1"/>
  <c r="I268" i="1"/>
  <c r="J268" i="1"/>
  <c r="I269" i="1"/>
  <c r="J269" i="1"/>
  <c r="N269" i="1"/>
  <c r="I270" i="1"/>
  <c r="J270" i="1"/>
  <c r="I271" i="1"/>
  <c r="N271" i="1"/>
  <c r="I272" i="1"/>
  <c r="J272" i="1"/>
  <c r="I273" i="1"/>
  <c r="N273" i="1"/>
  <c r="I274" i="1"/>
  <c r="N274" i="1"/>
  <c r="I275" i="1"/>
  <c r="N275" i="1"/>
  <c r="I276" i="1"/>
  <c r="J276" i="1"/>
  <c r="I277" i="1"/>
  <c r="J277" i="1"/>
  <c r="N277" i="1"/>
  <c r="I278" i="1"/>
  <c r="J278" i="1"/>
  <c r="I279" i="1"/>
  <c r="N279" i="1"/>
  <c r="I280" i="1"/>
  <c r="J280" i="1"/>
  <c r="I281" i="1"/>
  <c r="N281" i="1"/>
  <c r="I282" i="1"/>
  <c r="N282" i="1"/>
  <c r="I283" i="1"/>
  <c r="N283" i="1"/>
  <c r="I284" i="1"/>
  <c r="J284" i="1"/>
  <c r="I285" i="1"/>
  <c r="J285" i="1"/>
  <c r="N285" i="1"/>
  <c r="I286" i="1"/>
  <c r="J286" i="1"/>
  <c r="J64" i="1"/>
  <c r="L10" i="1"/>
  <c r="L9" i="1"/>
  <c r="L15" i="1"/>
  <c r="L14" i="1"/>
  <c r="L8" i="1"/>
  <c r="J54" i="1"/>
  <c r="J55" i="1"/>
  <c r="J61" i="1"/>
  <c r="J65" i="1"/>
  <c r="J67" i="1"/>
  <c r="J68" i="1"/>
  <c r="J69" i="1"/>
  <c r="J75" i="1"/>
  <c r="J77" i="1"/>
  <c r="J78" i="1"/>
  <c r="J79" i="1"/>
  <c r="J83" i="1"/>
  <c r="J85" i="1"/>
  <c r="J86" i="1"/>
  <c r="J87" i="1"/>
  <c r="J91" i="1"/>
  <c r="J93" i="1"/>
  <c r="J94" i="1"/>
  <c r="J95" i="1"/>
  <c r="J99" i="1"/>
  <c r="J101" i="1"/>
  <c r="J102" i="1"/>
  <c r="J103" i="1"/>
  <c r="J107" i="1"/>
  <c r="J109" i="1"/>
  <c r="J110" i="1"/>
  <c r="J111" i="1"/>
  <c r="J115" i="1"/>
  <c r="J117" i="1"/>
  <c r="J118" i="1"/>
  <c r="J119" i="1"/>
  <c r="J123" i="1"/>
  <c r="J125" i="1"/>
  <c r="J126" i="1"/>
  <c r="J127" i="1"/>
  <c r="J131" i="1"/>
  <c r="J133" i="1"/>
  <c r="J134" i="1"/>
  <c r="J135" i="1"/>
  <c r="J139" i="1"/>
  <c r="J141" i="1"/>
  <c r="J142" i="1"/>
  <c r="J145" i="1"/>
  <c r="J149" i="1"/>
  <c r="J151" i="1"/>
  <c r="J152" i="1"/>
  <c r="J153" i="1"/>
  <c r="J157" i="1"/>
  <c r="J159" i="1"/>
  <c r="J160" i="1"/>
  <c r="J161" i="1"/>
  <c r="J165" i="1"/>
  <c r="J167" i="1"/>
  <c r="J168" i="1"/>
  <c r="J169" i="1"/>
  <c r="J173" i="1"/>
  <c r="J175" i="1"/>
  <c r="J176" i="1"/>
  <c r="J177" i="1"/>
  <c r="J181" i="1"/>
  <c r="J183" i="1"/>
  <c r="J184" i="1"/>
  <c r="J185" i="1"/>
  <c r="J189" i="1"/>
  <c r="J191" i="1"/>
  <c r="J192" i="1"/>
  <c r="J193" i="1"/>
  <c r="J197" i="1"/>
  <c r="J199" i="1"/>
  <c r="J200" i="1"/>
  <c r="J201" i="1"/>
  <c r="J205" i="1"/>
  <c r="J207" i="1"/>
  <c r="J208" i="1"/>
  <c r="J209" i="1"/>
  <c r="J213" i="1"/>
  <c r="J217" i="1"/>
  <c r="J218" i="1"/>
  <c r="J219" i="1"/>
  <c r="J223" i="1"/>
  <c r="J225" i="1"/>
  <c r="J226" i="1"/>
  <c r="J227" i="1"/>
  <c r="J231" i="1"/>
  <c r="J233" i="1"/>
  <c r="J234" i="1"/>
  <c r="J235" i="1"/>
  <c r="J239" i="1"/>
  <c r="J241" i="1"/>
  <c r="J242" i="1"/>
  <c r="J243" i="1"/>
  <c r="J247" i="1"/>
  <c r="J249" i="1"/>
  <c r="J250" i="1"/>
  <c r="J251" i="1"/>
  <c r="J255" i="1"/>
  <c r="J257" i="1"/>
  <c r="J258" i="1"/>
  <c r="J259" i="1"/>
  <c r="J263" i="1"/>
  <c r="J265" i="1"/>
  <c r="J266" i="1"/>
  <c r="J267" i="1"/>
  <c r="J271" i="1"/>
  <c r="J273" i="1"/>
  <c r="J274" i="1"/>
  <c r="J275" i="1"/>
  <c r="J279" i="1"/>
  <c r="J281" i="1"/>
  <c r="J282" i="1"/>
  <c r="J283" i="1"/>
  <c r="N216" i="1"/>
  <c r="N215" i="1"/>
  <c r="N144" i="1"/>
  <c r="N143" i="1"/>
  <c r="N72" i="1"/>
  <c r="N71" i="1"/>
  <c r="J248" i="1"/>
  <c r="J224" i="1"/>
  <c r="J198" i="1"/>
  <c r="J190" i="1"/>
  <c r="J182" i="1"/>
  <c r="J158" i="1"/>
  <c r="J150" i="1"/>
  <c r="J140" i="1"/>
  <c r="J132" i="1"/>
  <c r="J124" i="1"/>
  <c r="J116" i="1"/>
  <c r="J108" i="1"/>
  <c r="J100" i="1"/>
  <c r="J92" i="1"/>
  <c r="J84" i="1"/>
  <c r="J76" i="1"/>
  <c r="J66" i="1"/>
  <c r="N284" i="1"/>
  <c r="N280" i="1"/>
  <c r="N276" i="1"/>
  <c r="N272" i="1"/>
  <c r="N268" i="1"/>
  <c r="N264" i="1"/>
  <c r="N260" i="1"/>
  <c r="N256" i="1"/>
  <c r="N252" i="1"/>
  <c r="N244" i="1"/>
  <c r="N240" i="1"/>
  <c r="N236" i="1"/>
  <c r="N232" i="1"/>
  <c r="N228" i="1"/>
  <c r="N220" i="1"/>
  <c r="N214" i="1"/>
  <c r="N210" i="1"/>
  <c r="N206" i="1"/>
  <c r="N202" i="1"/>
  <c r="N194" i="1"/>
  <c r="N186" i="1"/>
  <c r="N178" i="1"/>
  <c r="N174" i="1"/>
  <c r="N170" i="1"/>
  <c r="N166" i="1"/>
  <c r="N162" i="1"/>
  <c r="N154" i="1"/>
  <c r="N146" i="1"/>
  <c r="N136" i="1"/>
  <c r="N128" i="1"/>
  <c r="N120" i="1"/>
  <c r="N112" i="1"/>
  <c r="N104" i="1"/>
  <c r="N96" i="1"/>
  <c r="N88" i="1"/>
  <c r="N62" i="1"/>
  <c r="N80" i="1"/>
  <c r="N70" i="1"/>
  <c r="N57" i="1"/>
  <c r="J58" i="1"/>
  <c r="J46" i="1"/>
  <c r="J38" i="1"/>
  <c r="J30" i="1"/>
  <c r="N45" i="1"/>
  <c r="N238" i="1"/>
  <c r="N196" i="1"/>
  <c r="N180" i="1"/>
  <c r="J53" i="1"/>
  <c r="N286" i="1"/>
  <c r="N188" i="1"/>
  <c r="N98" i="1"/>
  <c r="N90" i="1"/>
  <c r="N82" i="1"/>
  <c r="N47" i="1"/>
  <c r="N278" i="1"/>
  <c r="N270" i="1"/>
  <c r="N262" i="1"/>
  <c r="N254" i="1"/>
  <c r="N246" i="1"/>
  <c r="N230" i="1"/>
  <c r="N222" i="1"/>
  <c r="N212" i="1"/>
  <c r="N204" i="1"/>
  <c r="N172" i="1"/>
  <c r="N164" i="1"/>
  <c r="N156" i="1"/>
  <c r="N148" i="1"/>
  <c r="N138" i="1"/>
  <c r="N130" i="1"/>
  <c r="N122" i="1"/>
  <c r="N114" i="1"/>
  <c r="N106" i="1"/>
  <c r="N74" i="1"/>
  <c r="N39" i="1"/>
  <c r="N40" i="1"/>
  <c r="J33" i="1"/>
  <c r="J35" i="1"/>
  <c r="J31" i="1"/>
  <c r="J32" i="1"/>
  <c r="J37" i="1"/>
  <c r="J36" i="1"/>
  <c r="J34" i="1"/>
  <c r="N287" i="1"/>
  <c r="M7" i="1"/>
  <c r="M11" i="1"/>
  <c r="M8" i="1"/>
  <c r="M10" i="1"/>
  <c r="M9" i="1"/>
  <c r="M12" i="1"/>
  <c r="M14" i="1"/>
  <c r="M15" i="1"/>
  <c r="M16" i="1"/>
</calcChain>
</file>

<file path=xl/sharedStrings.xml><?xml version="1.0" encoding="utf-8"?>
<sst xmlns="http://schemas.openxmlformats.org/spreadsheetml/2006/main" count="217" uniqueCount="156">
  <si>
    <t>ESTIMATED STATEMENT OF SERVICES RENDERED BY STAGE CREW</t>
  </si>
  <si>
    <t xml:space="preserve">EVENT: </t>
  </si>
  <si>
    <t xml:space="preserve">TOTAL GROSS EARNINGS: </t>
  </si>
  <si>
    <t xml:space="preserve">VENUE: </t>
  </si>
  <si>
    <t xml:space="preserve">END. DATE: </t>
  </si>
  <si>
    <t xml:space="preserve">LICENSEE: </t>
  </si>
  <si>
    <t xml:space="preserve">SIGNED FOR I.A.T.S.E. LOCAL 118:  </t>
  </si>
  <si>
    <t>PC - PRODUCTION CARPENTER</t>
  </si>
  <si>
    <t>PE - PRODUCTION ELECTRICIAN</t>
  </si>
  <si>
    <t>HC - HEAD CARPENTER</t>
  </si>
  <si>
    <t>HE - HEAD ELECTRICIAN</t>
  </si>
  <si>
    <t>AC - ASSISTANT CARPENTER</t>
  </si>
  <si>
    <t>AE - ASSISTANT ELECTRICIAN</t>
  </si>
  <si>
    <t xml:space="preserve">  C_ - GRIP CARPENTER </t>
  </si>
  <si>
    <t xml:space="preserve">  E - GRIP ELECTRICIAN</t>
  </si>
  <si>
    <t>HW - HEAD WARDROBE</t>
  </si>
  <si>
    <t>FS - FOLLOWSPOT</t>
  </si>
  <si>
    <t xml:space="preserve">  W - GRIP WARDROBE</t>
  </si>
  <si>
    <t>PR - PROJECTIONIST</t>
  </si>
  <si>
    <t>HR - HIGH RIGGER</t>
  </si>
  <si>
    <t>EMPLOYEE</t>
  </si>
  <si>
    <t>HOURS WORKED</t>
  </si>
  <si>
    <t>EXTEN.</t>
  </si>
  <si>
    <t>HOUR</t>
  </si>
  <si>
    <t>NET</t>
  </si>
  <si>
    <t>HOL.</t>
  </si>
  <si>
    <t>GROSS</t>
  </si>
  <si>
    <t>NO.</t>
  </si>
  <si>
    <t>POS.</t>
  </si>
  <si>
    <t>ST</t>
  </si>
  <si>
    <t>STMP</t>
  </si>
  <si>
    <t>OT</t>
  </si>
  <si>
    <t>OTMP</t>
  </si>
  <si>
    <t>DT</t>
  </si>
  <si>
    <t>DTMP</t>
  </si>
  <si>
    <t>FACTOR</t>
  </si>
  <si>
    <t>RATE</t>
  </si>
  <si>
    <t>EARNINGS</t>
  </si>
  <si>
    <t>PAY</t>
  </si>
  <si>
    <t>HOURLY RATES</t>
  </si>
  <si>
    <t>PC</t>
  </si>
  <si>
    <t>(PRODUCTION CARPENTER)</t>
  </si>
  <si>
    <t>HC</t>
  </si>
  <si>
    <t>(HEAD CARPENTER)</t>
  </si>
  <si>
    <t>AC</t>
  </si>
  <si>
    <t>(ASSISTANT CARPENTER)</t>
  </si>
  <si>
    <t>C_</t>
  </si>
  <si>
    <t>(GRIP CARPENTER)</t>
  </si>
  <si>
    <t>PE</t>
  </si>
  <si>
    <t>(PRODUCTION ELECTRICIAN)</t>
  </si>
  <si>
    <t>(HEAD ELECTRICIAN)</t>
  </si>
  <si>
    <t>AE</t>
  </si>
  <si>
    <t>(ASSISTANT ELECTRICIAN)</t>
  </si>
  <si>
    <t>E</t>
  </si>
  <si>
    <t>(GRIP ELECTRICIAN)</t>
  </si>
  <si>
    <t>FS</t>
  </si>
  <si>
    <t>(FOLLOWSPOT OPERATOR)</t>
  </si>
  <si>
    <t>HS</t>
  </si>
  <si>
    <t>(HEAD SOUND)</t>
  </si>
  <si>
    <t>AS</t>
  </si>
  <si>
    <t>(ASSISTANT SOUND)</t>
  </si>
  <si>
    <t>S</t>
  </si>
  <si>
    <t>(GRIP SOUND)</t>
  </si>
  <si>
    <t>HP</t>
  </si>
  <si>
    <t>(HEAD PROPS)</t>
  </si>
  <si>
    <t>AP</t>
  </si>
  <si>
    <t>(ASSISTANT PROPS)</t>
  </si>
  <si>
    <t>P</t>
  </si>
  <si>
    <t>(GRIP PROPS)</t>
  </si>
  <si>
    <t>HV</t>
  </si>
  <si>
    <t>(HEAD VIDEO)</t>
  </si>
  <si>
    <t>AV</t>
  </si>
  <si>
    <t>(ASSISTANT VIDEO)</t>
  </si>
  <si>
    <t>V</t>
  </si>
  <si>
    <t>(GRIP VIDEO)</t>
  </si>
  <si>
    <t>VPR</t>
  </si>
  <si>
    <t>(VIDEO PROJECTIONIST)</t>
  </si>
  <si>
    <t>HF</t>
  </si>
  <si>
    <t>(HEAD FLY)</t>
  </si>
  <si>
    <t>AF</t>
  </si>
  <si>
    <t>(ASSISTANT FLY)</t>
  </si>
  <si>
    <t>F</t>
  </si>
  <si>
    <t>(GRIP FLY)</t>
  </si>
  <si>
    <t>CL</t>
  </si>
  <si>
    <t>(CARLOADER)</t>
  </si>
  <si>
    <t>HR</t>
  </si>
  <si>
    <t>(HIGHRIGGER)</t>
  </si>
  <si>
    <t>GR</t>
  </si>
  <si>
    <t>(GROUND RIGGER)</t>
  </si>
  <si>
    <t>PR</t>
  </si>
  <si>
    <t>(PROJECTIONIST)</t>
  </si>
  <si>
    <t>HW</t>
  </si>
  <si>
    <t>(HEAD WARDROBE)</t>
  </si>
  <si>
    <t>AW</t>
  </si>
  <si>
    <t>(ASSISTANTWARDROBE)</t>
  </si>
  <si>
    <t>W</t>
  </si>
  <si>
    <t>(GRIP WARDROBE)</t>
  </si>
  <si>
    <t>SW</t>
  </si>
  <si>
    <t>H</t>
  </si>
  <si>
    <t>CPP</t>
  </si>
  <si>
    <t>EI</t>
  </si>
  <si>
    <t>RETRO</t>
  </si>
  <si>
    <t>CONTINGENCY</t>
  </si>
  <si>
    <t>PAYROLL ADMINISTRATION FEE:</t>
  </si>
  <si>
    <t xml:space="preserve"> GROSS COST PAYABLE:</t>
  </si>
  <si>
    <t>TOTAL COST PAYABLE:</t>
  </si>
  <si>
    <t xml:space="preserve">            when new agreement has been ratifIed</t>
  </si>
  <si>
    <t xml:space="preserve">Note---key  values into yellow cells </t>
  </si>
  <si>
    <t>RETROACTIVE ASSESSMENT - GROSS COST  X</t>
  </si>
  <si>
    <t>CONTINGENCY FEE - GROSS COST X</t>
  </si>
  <si>
    <t xml:space="preserve">EMPLOYER'S PORTION OF EI - TOTAL EARNINGS X 1.4 X </t>
  </si>
  <si>
    <t>HH</t>
  </si>
  <si>
    <t>AH</t>
  </si>
  <si>
    <t>HM</t>
  </si>
  <si>
    <t>AM</t>
  </si>
  <si>
    <t>M</t>
  </si>
  <si>
    <t>(HEAD MAKE-UP)</t>
  </si>
  <si>
    <t>(ASSISTANT MAKE-UP)</t>
  </si>
  <si>
    <t>(GRIP MAKE-UP)</t>
  </si>
  <si>
    <t>(HEAD HAIRDRESSER)</t>
  </si>
  <si>
    <t>(ASSISTANT HAIRDRESSER)</t>
  </si>
  <si>
    <t>(GRIP HAIRDRESSER)</t>
  </si>
  <si>
    <t>Note--enter Grip rate as "C_", not "C"</t>
  </si>
  <si>
    <t>WCB</t>
  </si>
  <si>
    <t xml:space="preserve">WORKERS COMPENSATION BOARD ASSESSMENT X </t>
  </si>
  <si>
    <t xml:space="preserve">EMPLOYERS PORTION OF CPP - TOTAL EARNINGS  X </t>
  </si>
  <si>
    <t xml:space="preserve">            or contingency fee changes.</t>
  </si>
  <si>
    <t xml:space="preserve">           retroactive assessment amounts</t>
  </si>
  <si>
    <t xml:space="preserve">            or when statutory rates (C.P.P., E.I., &amp; WCB),  </t>
  </si>
  <si>
    <t>HF - HEAD FLY</t>
  </si>
  <si>
    <t xml:space="preserve">  F -  GRIP FLY </t>
  </si>
  <si>
    <t>HS - HEAD SOUND</t>
  </si>
  <si>
    <t>AS - ASSISTANT SOUND</t>
  </si>
  <si>
    <t xml:space="preserve">  S - GRIP SOUND</t>
  </si>
  <si>
    <t>HP - HEAD PROP</t>
  </si>
  <si>
    <t>AP - ASSISTANT PROP</t>
  </si>
  <si>
    <t xml:space="preserve">  P - GRIP PROP</t>
  </si>
  <si>
    <t>HV - HEAD VIDEO</t>
  </si>
  <si>
    <t>AV - ASSISTANT VIDEO</t>
  </si>
  <si>
    <t xml:space="preserve">  V - GRIP VIDEO</t>
  </si>
  <si>
    <t>(STITCHER)</t>
  </si>
  <si>
    <t>EMPLOYER'S RSP CONTRIBUTION (5% X GROSS EARNINGS):</t>
  </si>
  <si>
    <t>MEDICAL\DENTAL ASSESSMENT (6% X HRS. X [GP RATE + 8% HOL].):</t>
  </si>
  <si>
    <t>HE</t>
  </si>
  <si>
    <t>(Employer)</t>
  </si>
  <si>
    <t>Malkin Bowl</t>
  </si>
  <si>
    <t>Malkin bowl Estimate</t>
  </si>
  <si>
    <t>Notes</t>
  </si>
  <si>
    <t>Revised Jan 10th, 2017 by AL</t>
  </si>
  <si>
    <t>Travel time &amp; meal premium may apply</t>
  </si>
  <si>
    <t>Sunday calculated at 1.5X for first 8 hours</t>
  </si>
  <si>
    <t>Sunday 2X after 8 hours</t>
  </si>
  <si>
    <t>THIS IS AN ESTIMATE - FINAL INVOICE MAY VARY</t>
  </si>
  <si>
    <t>rates were increased 2% on Jan, 2017</t>
  </si>
  <si>
    <t>Midnight to 8am calculated at 2.0X</t>
  </si>
  <si>
    <t>GST  (5% X ADMIN. FEE):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</si>
</sst>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8" formatCode="&quot;$&quot;#,##0.00_);[Red]\(&quot;$&quot;#,##0.00\)"/>
    <numFmt numFmtId="172" formatCode="General_);[Red]\-General_)"/>
    <numFmt numFmtId="173" formatCode="General_)"/>
    <numFmt numFmtId="174" formatCode="&quot;$&quot;#,##0.0000"/>
    <numFmt numFmtId="175" formatCode="0.0%"/>
    <numFmt numFmtId="177" formatCode="0.00_)"/>
    <numFmt numFmtId="178" formatCode="0_)"/>
    <numFmt numFmtId="179" formatCode="m/d/yy"/>
  </numFmts>
  <fonts count="23" x14ac:knownFonts="1">
    <font>
      <sz val="12"/>
      <name val="Arial MT"/>
    </font>
    <font>
      <b/>
      <u/>
      <sz val="18"/>
      <name val="Arial MT"/>
    </font>
    <font>
      <u/>
      <sz val="14"/>
      <name val="Arial MT"/>
    </font>
    <font>
      <sz val="14"/>
      <name val="Arial MT"/>
    </font>
    <font>
      <sz val="10"/>
      <name val="Arial MT"/>
    </font>
    <font>
      <b/>
      <i/>
      <sz val="12"/>
      <color indexed="12"/>
      <name val="Arial MT"/>
    </font>
    <font>
      <b/>
      <sz val="14"/>
      <name val="Arial MT"/>
    </font>
    <font>
      <b/>
      <sz val="12"/>
      <name val="Arial MT"/>
    </font>
    <font>
      <b/>
      <sz val="12"/>
      <color indexed="10"/>
      <name val="Arial MT"/>
    </font>
    <font>
      <b/>
      <sz val="10"/>
      <name val="Arial MT"/>
    </font>
    <font>
      <b/>
      <sz val="8"/>
      <name val="Arial MT"/>
    </font>
    <font>
      <sz val="8"/>
      <name val="Arial MT"/>
    </font>
    <font>
      <sz val="12"/>
      <color indexed="9"/>
      <name val="Arial MT"/>
    </font>
    <font>
      <sz val="8"/>
      <name val="Arial"/>
      <charset val="204"/>
    </font>
    <font>
      <sz val="8"/>
      <name val="Arial"/>
      <charset val="204"/>
    </font>
    <font>
      <b/>
      <sz val="10"/>
      <name val="Ariel"/>
    </font>
    <font>
      <b/>
      <sz val="14"/>
      <color indexed="10"/>
      <name val="Arial MT"/>
    </font>
    <font>
      <b/>
      <sz val="12"/>
      <color indexed="29"/>
      <name val="Arial MT"/>
    </font>
    <font>
      <i/>
      <sz val="12"/>
      <color indexed="12"/>
      <name val="Arial MT"/>
    </font>
    <font>
      <b/>
      <sz val="8"/>
      <color indexed="10"/>
      <name val="Arial MT"/>
    </font>
    <font>
      <sz val="12"/>
      <color indexed="10"/>
      <name val="Arial MT"/>
    </font>
    <font>
      <u/>
      <sz val="12"/>
      <color theme="10"/>
      <name val="Arial MT"/>
    </font>
    <font>
      <u/>
      <sz val="12"/>
      <color theme="11"/>
      <name val="Arial MT"/>
    </font>
  </fonts>
  <fills count="7">
    <fill>
      <patternFill patternType="none"/>
    </fill>
    <fill>
      <patternFill patternType="gray125"/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FFFF00"/>
        <bgColor rgb="FF000000"/>
      </patternFill>
    </fill>
  </fills>
  <borders count="53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medium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 style="medium">
        <color indexed="8"/>
      </right>
      <top/>
      <bottom style="double">
        <color indexed="8"/>
      </bottom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medium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 style="medium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indexed="8"/>
      </right>
      <top/>
      <bottom style="double">
        <color indexed="8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double">
        <color auto="1"/>
      </bottom>
      <diagonal/>
    </border>
    <border>
      <left/>
      <right style="thick">
        <color indexed="8"/>
      </right>
      <top style="medium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thick">
        <color indexed="8"/>
      </top>
      <bottom style="medium">
        <color indexed="8"/>
      </bottom>
      <diagonal/>
    </border>
    <border>
      <left/>
      <right/>
      <top style="thick">
        <color indexed="8"/>
      </top>
      <bottom style="medium">
        <color indexed="8"/>
      </bottom>
      <diagonal/>
    </border>
    <border>
      <left/>
      <right style="thick">
        <color indexed="8"/>
      </right>
      <top style="thick">
        <color indexed="8"/>
      </top>
      <bottom style="medium">
        <color indexed="8"/>
      </bottom>
      <diagonal/>
    </border>
  </borders>
  <cellStyleXfs count="3">
    <xf numFmtId="0" fontId="0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43">
    <xf numFmtId="0" fontId="0" fillId="0" borderId="0" xfId="0"/>
    <xf numFmtId="7" fontId="0" fillId="0" borderId="0" xfId="0" applyNumberFormat="1" applyProtection="1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right"/>
    </xf>
    <xf numFmtId="0" fontId="7" fillId="0" borderId="0" xfId="0" applyFont="1"/>
    <xf numFmtId="0" fontId="0" fillId="0" borderId="1" xfId="0" applyBorder="1"/>
    <xf numFmtId="0" fontId="6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0" fillId="0" borderId="2" xfId="0" applyFont="1" applyBorder="1" applyAlignment="1">
      <alignment horizontal="left"/>
    </xf>
    <xf numFmtId="0" fontId="11" fillId="0" borderId="3" xfId="0" applyFont="1" applyBorder="1"/>
    <xf numFmtId="0" fontId="10" fillId="0" borderId="3" xfId="0" applyFont="1" applyBorder="1"/>
    <xf numFmtId="0" fontId="10" fillId="0" borderId="3" xfId="0" applyFont="1" applyBorder="1" applyAlignment="1">
      <alignment horizontal="left"/>
    </xf>
    <xf numFmtId="0" fontId="10" fillId="0" borderId="4" xfId="0" applyFont="1" applyBorder="1"/>
    <xf numFmtId="0" fontId="10" fillId="0" borderId="5" xfId="0" applyFont="1" applyBorder="1" applyAlignment="1">
      <alignment horizontal="left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6" xfId="0" applyFont="1" applyBorder="1"/>
    <xf numFmtId="0" fontId="10" fillId="0" borderId="7" xfId="0" applyFont="1" applyBorder="1" applyAlignment="1">
      <alignment horizontal="left"/>
    </xf>
    <xf numFmtId="0" fontId="11" fillId="0" borderId="8" xfId="0" applyFont="1" applyBorder="1"/>
    <xf numFmtId="0" fontId="10" fillId="0" borderId="8" xfId="0" applyFont="1" applyBorder="1"/>
    <xf numFmtId="0" fontId="10" fillId="0" borderId="8" xfId="0" applyFont="1" applyBorder="1" applyAlignment="1">
      <alignment horizontal="left"/>
    </xf>
    <xf numFmtId="0" fontId="10" fillId="0" borderId="9" xfId="0" applyFont="1" applyBorder="1"/>
    <xf numFmtId="0" fontId="7" fillId="2" borderId="10" xfId="0" applyFont="1" applyFill="1" applyBorder="1" applyAlignment="1">
      <alignment horizontal="centerContinuous"/>
    </xf>
    <xf numFmtId="0" fontId="0" fillId="2" borderId="11" xfId="0" applyFill="1" applyBorder="1" applyAlignment="1">
      <alignment horizontal="centerContinuous"/>
    </xf>
    <xf numFmtId="0" fontId="7" fillId="2" borderId="12" xfId="0" applyFont="1" applyFill="1" applyBorder="1" applyAlignment="1">
      <alignment horizontal="centerContinuous"/>
    </xf>
    <xf numFmtId="0" fontId="7" fillId="2" borderId="13" xfId="0" applyFont="1" applyFill="1" applyBorder="1" applyAlignment="1">
      <alignment horizontal="centerContinuous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Continuous"/>
    </xf>
    <xf numFmtId="0" fontId="7" fillId="2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172" fontId="5" fillId="0" borderId="23" xfId="0" applyNumberFormat="1" applyFont="1" applyBorder="1" applyProtection="1">
      <protection locked="0"/>
    </xf>
    <xf numFmtId="172" fontId="5" fillId="0" borderId="24" xfId="0" applyNumberFormat="1" applyFont="1" applyBorder="1" applyProtection="1">
      <protection locked="0"/>
    </xf>
    <xf numFmtId="173" fontId="5" fillId="0" borderId="9" xfId="0" applyNumberFormat="1" applyFont="1" applyBorder="1" applyProtection="1">
      <protection locked="0"/>
    </xf>
    <xf numFmtId="173" fontId="5" fillId="0" borderId="25" xfId="0" applyNumberFormat="1" applyFont="1" applyBorder="1" applyProtection="1">
      <protection locked="0"/>
    </xf>
    <xf numFmtId="173" fontId="0" fillId="0" borderId="26" xfId="0" applyNumberFormat="1" applyBorder="1" applyProtection="1"/>
    <xf numFmtId="7" fontId="0" fillId="0" borderId="24" xfId="0" applyNumberFormat="1" applyBorder="1" applyProtection="1"/>
    <xf numFmtId="172" fontId="5" fillId="0" borderId="17" xfId="0" applyNumberFormat="1" applyFont="1" applyBorder="1" applyProtection="1">
      <protection locked="0"/>
    </xf>
    <xf numFmtId="172" fontId="5" fillId="0" borderId="18" xfId="0" applyNumberFormat="1" applyFont="1" applyBorder="1" applyProtection="1">
      <protection locked="0"/>
    </xf>
    <xf numFmtId="173" fontId="5" fillId="0" borderId="19" xfId="0" applyNumberFormat="1" applyFont="1" applyBorder="1" applyProtection="1">
      <protection locked="0"/>
    </xf>
    <xf numFmtId="173" fontId="5" fillId="0" borderId="20" xfId="0" applyNumberFormat="1" applyFont="1" applyBorder="1" applyProtection="1">
      <protection locked="0"/>
    </xf>
    <xf numFmtId="173" fontId="0" fillId="0" borderId="21" xfId="0" applyNumberFormat="1" applyBorder="1" applyProtection="1"/>
    <xf numFmtId="7" fontId="0" fillId="0" borderId="18" xfId="0" applyNumberFormat="1" applyBorder="1" applyProtection="1"/>
    <xf numFmtId="0" fontId="7" fillId="0" borderId="0" xfId="0" applyFont="1" applyAlignment="1">
      <alignment horizontal="centerContinuous"/>
    </xf>
    <xf numFmtId="0" fontId="8" fillId="0" borderId="0" xfId="0" applyFont="1"/>
    <xf numFmtId="172" fontId="5" fillId="0" borderId="27" xfId="0" applyNumberFormat="1" applyFont="1" applyBorder="1" applyProtection="1">
      <protection locked="0"/>
    </xf>
    <xf numFmtId="172" fontId="5" fillId="0" borderId="11" xfId="0" applyNumberFormat="1" applyFont="1" applyBorder="1" applyProtection="1">
      <protection locked="0"/>
    </xf>
    <xf numFmtId="173" fontId="5" fillId="0" borderId="28" xfId="0" applyNumberFormat="1" applyFont="1" applyBorder="1" applyProtection="1">
      <protection locked="0"/>
    </xf>
    <xf numFmtId="0" fontId="0" fillId="3" borderId="0" xfId="0" applyFill="1"/>
    <xf numFmtId="7" fontId="0" fillId="3" borderId="0" xfId="0" applyNumberFormat="1" applyFill="1" applyProtection="1"/>
    <xf numFmtId="0" fontId="0" fillId="3" borderId="0" xfId="0" applyFill="1" applyAlignment="1">
      <alignment horizontal="left"/>
    </xf>
    <xf numFmtId="0" fontId="0" fillId="0" borderId="0" xfId="0" applyAlignment="1">
      <alignment horizontal="center"/>
    </xf>
    <xf numFmtId="0" fontId="12" fillId="0" borderId="0" xfId="0" applyFont="1" applyProtection="1">
      <protection hidden="1"/>
    </xf>
    <xf numFmtId="0" fontId="11" fillId="0" borderId="1" xfId="0" applyFont="1" applyBorder="1"/>
    <xf numFmtId="0" fontId="11" fillId="0" borderId="0" xfId="0" applyFont="1" applyAlignment="1">
      <alignment horizontal="right"/>
    </xf>
    <xf numFmtId="0" fontId="0" fillId="0" borderId="0" xfId="0" applyBorder="1"/>
    <xf numFmtId="177" fontId="13" fillId="0" borderId="0" xfId="0" quotePrefix="1" applyNumberFormat="1" applyFont="1" applyFill="1" applyBorder="1" applyAlignment="1" applyProtection="1">
      <alignment horizontal="right"/>
    </xf>
    <xf numFmtId="178" fontId="14" fillId="0" borderId="0" xfId="0" quotePrefix="1" applyNumberFormat="1" applyFont="1" applyFill="1" applyBorder="1" applyAlignment="1" applyProtection="1">
      <alignment horizontal="right"/>
    </xf>
    <xf numFmtId="173" fontId="14" fillId="0" borderId="0" xfId="0" quotePrefix="1" applyNumberFormat="1" applyFont="1" applyFill="1" applyBorder="1" applyAlignment="1" applyProtection="1">
      <alignment horizontal="right"/>
    </xf>
    <xf numFmtId="173" fontId="13" fillId="0" borderId="0" xfId="0" quotePrefix="1" applyNumberFormat="1" applyFont="1" applyFill="1" applyBorder="1" applyAlignment="1" applyProtection="1">
      <alignment horizontal="right"/>
    </xf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right"/>
    </xf>
    <xf numFmtId="10" fontId="15" fillId="0" borderId="0" xfId="0" applyNumberFormat="1" applyFont="1"/>
    <xf numFmtId="0" fontId="11" fillId="0" borderId="0" xfId="0" applyFont="1" applyBorder="1" applyAlignment="1">
      <alignment horizontal="right"/>
    </xf>
    <xf numFmtId="10" fontId="7" fillId="4" borderId="0" xfId="0" applyNumberFormat="1" applyFont="1" applyFill="1"/>
    <xf numFmtId="0" fontId="0" fillId="0" borderId="29" xfId="0" applyBorder="1"/>
    <xf numFmtId="0" fontId="0" fillId="0" borderId="30" xfId="0" applyBorder="1"/>
    <xf numFmtId="0" fontId="0" fillId="0" borderId="31" xfId="0" applyBorder="1"/>
    <xf numFmtId="8" fontId="4" fillId="0" borderId="32" xfId="0" applyNumberFormat="1" applyFont="1" applyFill="1" applyBorder="1" applyProtection="1"/>
    <xf numFmtId="0" fontId="0" fillId="0" borderId="32" xfId="0" applyBorder="1"/>
    <xf numFmtId="0" fontId="0" fillId="0" borderId="33" xfId="0" applyBorder="1"/>
    <xf numFmtId="0" fontId="0" fillId="0" borderId="34" xfId="0" applyBorder="1"/>
    <xf numFmtId="174" fontId="0" fillId="3" borderId="34" xfId="0" applyNumberFormat="1" applyFill="1" applyBorder="1"/>
    <xf numFmtId="10" fontId="0" fillId="3" borderId="34" xfId="0" applyNumberFormat="1" applyFill="1" applyBorder="1"/>
    <xf numFmtId="10" fontId="0" fillId="0" borderId="34" xfId="0" applyNumberFormat="1" applyFill="1" applyBorder="1"/>
    <xf numFmtId="0" fontId="0" fillId="0" borderId="35" xfId="0" applyBorder="1"/>
    <xf numFmtId="8" fontId="4" fillId="0" borderId="36" xfId="0" applyNumberFormat="1" applyFont="1" applyFill="1" applyBorder="1" applyProtection="1"/>
    <xf numFmtId="7" fontId="7" fillId="0" borderId="37" xfId="0" applyNumberFormat="1" applyFont="1" applyBorder="1" applyProtection="1"/>
    <xf numFmtId="7" fontId="0" fillId="0" borderId="32" xfId="0" applyNumberFormat="1" applyBorder="1"/>
    <xf numFmtId="7" fontId="0" fillId="0" borderId="38" xfId="0" applyNumberFormat="1" applyBorder="1"/>
    <xf numFmtId="175" fontId="9" fillId="0" borderId="0" xfId="0" applyNumberFormat="1" applyFont="1" applyBorder="1" applyAlignment="1">
      <alignment horizontal="center"/>
    </xf>
    <xf numFmtId="7" fontId="16" fillId="0" borderId="39" xfId="0" applyNumberFormat="1" applyFont="1" applyBorder="1"/>
    <xf numFmtId="7" fontId="0" fillId="0" borderId="0" xfId="0" applyNumberFormat="1"/>
    <xf numFmtId="0" fontId="17" fillId="0" borderId="0" xfId="0" applyFont="1"/>
    <xf numFmtId="0" fontId="11" fillId="0" borderId="29" xfId="0" applyFont="1" applyBorder="1" applyAlignment="1">
      <alignment horizontal="right"/>
    </xf>
    <xf numFmtId="2" fontId="2" fillId="0" borderId="0" xfId="0" applyNumberFormat="1" applyFont="1" applyAlignment="1">
      <alignment horizontal="centerContinuous"/>
    </xf>
    <xf numFmtId="7" fontId="7" fillId="0" borderId="40" xfId="0" applyNumberFormat="1" applyFont="1" applyBorder="1" applyAlignment="1" applyProtection="1">
      <alignment horizontal="right"/>
    </xf>
    <xf numFmtId="8" fontId="4" fillId="0" borderId="38" xfId="0" applyNumberFormat="1" applyFont="1" applyFill="1" applyBorder="1" applyProtection="1"/>
    <xf numFmtId="7" fontId="7" fillId="0" borderId="0" xfId="0" applyNumberFormat="1" applyFont="1"/>
    <xf numFmtId="179" fontId="8" fillId="0" borderId="0" xfId="0" applyNumberFormat="1" applyFont="1"/>
    <xf numFmtId="173" fontId="13" fillId="0" borderId="0" xfId="0" applyNumberFormat="1" applyFont="1" applyFill="1" applyBorder="1" applyAlignment="1" applyProtection="1">
      <alignment horizontal="right"/>
    </xf>
    <xf numFmtId="0" fontId="5" fillId="0" borderId="8" xfId="0" applyFont="1" applyFill="1" applyBorder="1" applyProtection="1">
      <protection locked="0"/>
    </xf>
    <xf numFmtId="0" fontId="5" fillId="0" borderId="0" xfId="0" applyFont="1" applyFill="1" applyBorder="1" applyProtection="1">
      <protection locked="0"/>
    </xf>
    <xf numFmtId="0" fontId="5" fillId="0" borderId="0" xfId="0" applyFont="1" applyFill="1"/>
    <xf numFmtId="0" fontId="18" fillId="0" borderId="8" xfId="0" applyFont="1" applyBorder="1"/>
    <xf numFmtId="0" fontId="20" fillId="0" borderId="0" xfId="0" applyFont="1"/>
    <xf numFmtId="10" fontId="14" fillId="0" borderId="0" xfId="0" quotePrefix="1" applyNumberFormat="1" applyFont="1" applyFill="1" applyBorder="1" applyAlignment="1" applyProtection="1">
      <alignment horizontal="right"/>
    </xf>
    <xf numFmtId="0" fontId="19" fillId="0" borderId="0" xfId="0" quotePrefix="1" applyFont="1" applyAlignment="1">
      <alignment horizontal="left"/>
    </xf>
    <xf numFmtId="0" fontId="5" fillId="0" borderId="8" xfId="0" quotePrefix="1" applyFont="1" applyBorder="1" applyAlignment="1">
      <alignment horizontal="left"/>
    </xf>
    <xf numFmtId="0" fontId="5" fillId="0" borderId="8" xfId="0" quotePrefix="1" applyFont="1" applyFill="1" applyBorder="1" applyAlignment="1" applyProtection="1">
      <alignment horizontal="left"/>
      <protection locked="0"/>
    </xf>
    <xf numFmtId="0" fontId="5" fillId="0" borderId="0" xfId="0" quotePrefix="1" applyFont="1" applyFill="1" applyBorder="1" applyAlignment="1" applyProtection="1">
      <alignment horizontal="left"/>
      <protection locked="0"/>
    </xf>
    <xf numFmtId="172" fontId="5" fillId="0" borderId="23" xfId="0" quotePrefix="1" applyNumberFormat="1" applyFont="1" applyBorder="1" applyAlignment="1" applyProtection="1">
      <alignment horizontal="left"/>
      <protection locked="0"/>
    </xf>
    <xf numFmtId="0" fontId="5" fillId="0" borderId="0" xfId="0" quotePrefix="1" applyFont="1" applyFill="1" applyAlignment="1">
      <alignment horizontal="left"/>
    </xf>
    <xf numFmtId="172" fontId="5" fillId="0" borderId="23" xfId="0" applyNumberFormat="1" applyFont="1" applyBorder="1" applyAlignment="1" applyProtection="1">
      <alignment horizontal="left"/>
      <protection locked="0"/>
    </xf>
    <xf numFmtId="172" fontId="5" fillId="0" borderId="23" xfId="0" quotePrefix="1" applyNumberFormat="1" applyFont="1" applyBorder="1" applyAlignment="1" applyProtection="1">
      <alignment horizontal="right"/>
      <protection locked="0"/>
    </xf>
    <xf numFmtId="0" fontId="8" fillId="0" borderId="0" xfId="0" quotePrefix="1" applyFont="1" applyAlignment="1">
      <alignment horizontal="left"/>
    </xf>
    <xf numFmtId="0" fontId="7" fillId="3" borderId="41" xfId="0" applyFont="1" applyFill="1" applyBorder="1" applyAlignment="1">
      <alignment horizontal="left"/>
    </xf>
    <xf numFmtId="7" fontId="7" fillId="5" borderId="41" xfId="0" applyNumberFormat="1" applyFont="1" applyFill="1" applyBorder="1" applyProtection="1"/>
    <xf numFmtId="7" fontId="7" fillId="4" borderId="41" xfId="0" applyNumberFormat="1" applyFont="1" applyFill="1" applyBorder="1" applyProtection="1"/>
    <xf numFmtId="0" fontId="7" fillId="3" borderId="41" xfId="0" applyFont="1" applyFill="1" applyBorder="1"/>
    <xf numFmtId="0" fontId="5" fillId="0" borderId="8" xfId="0" applyFont="1" applyFill="1" applyBorder="1" applyAlignment="1" applyProtection="1">
      <alignment horizontal="left"/>
      <protection locked="0"/>
    </xf>
    <xf numFmtId="172" fontId="5" fillId="0" borderId="24" xfId="0" applyNumberFormat="1" applyFont="1" applyBorder="1" applyAlignment="1" applyProtection="1">
      <alignment horizontal="left"/>
      <protection locked="0"/>
    </xf>
    <xf numFmtId="177" fontId="13" fillId="0" borderId="0" xfId="0" applyNumberFormat="1" applyFont="1" applyFill="1" applyBorder="1" applyAlignment="1" applyProtection="1">
      <alignment horizontal="right"/>
    </xf>
    <xf numFmtId="0" fontId="17" fillId="0" borderId="42" xfId="0" applyFont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7" fontId="7" fillId="6" borderId="41" xfId="0" applyNumberFormat="1" applyFont="1" applyFill="1" applyBorder="1"/>
    <xf numFmtId="0" fontId="7" fillId="0" borderId="46" xfId="0" applyFont="1" applyFill="1" applyBorder="1"/>
    <xf numFmtId="0" fontId="0" fillId="0" borderId="0" xfId="0" applyFont="1" applyFill="1" applyBorder="1"/>
    <xf numFmtId="0" fontId="7" fillId="0" borderId="46" xfId="0" applyFont="1" applyFill="1" applyBorder="1" applyAlignment="1">
      <alignment horizontal="left"/>
    </xf>
    <xf numFmtId="0" fontId="7" fillId="0" borderId="0" xfId="0" applyFont="1" applyFill="1" applyBorder="1"/>
    <xf numFmtId="0" fontId="0" fillId="0" borderId="46" xfId="0" applyFont="1" applyFill="1" applyBorder="1"/>
    <xf numFmtId="0" fontId="6" fillId="2" borderId="50" xfId="0" applyFont="1" applyFill="1" applyBorder="1" applyAlignment="1">
      <alignment horizontal="center"/>
    </xf>
    <xf numFmtId="0" fontId="6" fillId="2" borderId="51" xfId="0" applyFont="1" applyFill="1" applyBorder="1" applyAlignment="1">
      <alignment horizontal="center"/>
    </xf>
    <xf numFmtId="0" fontId="6" fillId="2" borderId="52" xfId="0" applyFont="1" applyFill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7" fillId="0" borderId="45" xfId="0" applyFont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1">
    <dxf>
      <font>
        <condense val="0"/>
        <extend val="0"/>
        <color indexed="8"/>
      </font>
      <fill>
        <patternFill>
          <bgColor indexed="2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enableFormatConditionsCalculation="0"/>
  <dimension ref="A1:W287"/>
  <sheetViews>
    <sheetView showGridLines="0" showZeros="0" tabSelected="1" zoomScale="75" zoomScaleNormal="75" zoomScalePageLayoutView="75" workbookViewId="0">
      <selection activeCell="Z58" sqref="Z58"/>
    </sheetView>
  </sheetViews>
  <sheetFormatPr baseColWidth="10" defaultColWidth="9.625" defaultRowHeight="16" x14ac:dyDescent="0"/>
  <cols>
    <col min="1" max="1" width="4.625" customWidth="1"/>
    <col min="2" max="7" width="6.625" customWidth="1"/>
    <col min="8" max="8" width="7.625" customWidth="1"/>
    <col min="9" max="10" width="8.625" customWidth="1"/>
    <col min="11" max="11" width="10.625" customWidth="1"/>
    <col min="12" max="12" width="8.625" customWidth="1"/>
    <col min="13" max="13" width="14.5" customWidth="1"/>
    <col min="14" max="15" width="6.625" customWidth="1"/>
    <col min="16" max="16" width="8.5" customWidth="1"/>
    <col min="17" max="17" width="9" customWidth="1"/>
    <col min="18" max="20" width="6.625" customWidth="1"/>
    <col min="21" max="21" width="11.625" customWidth="1"/>
    <col min="22" max="254" width="6.625" customWidth="1"/>
  </cols>
  <sheetData>
    <row r="1" spans="1:20" ht="25">
      <c r="A1" s="2" t="s">
        <v>0</v>
      </c>
      <c r="B1" s="3"/>
      <c r="C1" s="96"/>
      <c r="D1" s="3"/>
      <c r="E1" s="4"/>
      <c r="F1" s="3"/>
      <c r="G1" s="5"/>
      <c r="H1" s="5"/>
      <c r="I1" s="5"/>
      <c r="J1" s="5"/>
      <c r="K1" s="5"/>
      <c r="L1" s="4"/>
      <c r="M1" s="4"/>
      <c r="T1" s="1"/>
    </row>
    <row r="2" spans="1:20" ht="16.75" customHeight="1" thickBot="1">
      <c r="C2" s="104"/>
      <c r="D2" s="104"/>
      <c r="E2" s="104"/>
      <c r="F2" s="104"/>
      <c r="G2" s="104"/>
      <c r="P2" s="11" t="s">
        <v>123</v>
      </c>
      <c r="Q2" s="75">
        <v>1.67E-2</v>
      </c>
      <c r="T2" s="1"/>
    </row>
    <row r="3" spans="1:20" ht="20" thickTop="1" thickBot="1">
      <c r="B3" s="6" t="s">
        <v>1</v>
      </c>
      <c r="C3" s="121"/>
      <c r="D3" s="102"/>
      <c r="E3" s="102"/>
      <c r="F3" s="102"/>
      <c r="G3" s="104"/>
      <c r="H3" s="138" t="s">
        <v>146</v>
      </c>
      <c r="I3" s="139"/>
      <c r="J3" s="139"/>
      <c r="K3" s="139"/>
      <c r="L3" s="139"/>
      <c r="M3" s="140"/>
      <c r="P3" s="11" t="s">
        <v>99</v>
      </c>
      <c r="Q3" s="75">
        <v>4.9500000000000002E-2</v>
      </c>
    </row>
    <row r="4" spans="1:20" ht="16.75" customHeight="1">
      <c r="A4" s="7"/>
      <c r="C4" s="104"/>
      <c r="D4" s="104"/>
      <c r="E4" s="104"/>
      <c r="F4" s="104"/>
      <c r="G4" s="104"/>
      <c r="H4" s="81"/>
      <c r="I4" s="8"/>
      <c r="J4" s="8"/>
      <c r="K4" s="64"/>
      <c r="L4" s="71" t="s">
        <v>2</v>
      </c>
      <c r="M4" s="97">
        <f ca="1">SUM(M30:M286)</f>
        <v>0</v>
      </c>
      <c r="P4" s="11" t="s">
        <v>100</v>
      </c>
      <c r="Q4" s="75">
        <v>2.2800000000000001E-2</v>
      </c>
      <c r="R4" t="s">
        <v>144</v>
      </c>
    </row>
    <row r="5" spans="1:20">
      <c r="C5" s="110"/>
      <c r="D5" s="102"/>
      <c r="E5" s="102"/>
      <c r="F5" s="102"/>
      <c r="G5" s="104"/>
      <c r="H5" s="82"/>
      <c r="K5" s="18"/>
      <c r="L5" s="67" t="s">
        <v>103</v>
      </c>
      <c r="M5" s="79">
        <f ca="1">ROUND(IF(M4&lt;=2000,0.12*M4,IF(M4&lt;=6000,110+0.065*M4,260+0.04*M4)),2)</f>
        <v>0</v>
      </c>
      <c r="P5" s="11" t="s">
        <v>101</v>
      </c>
      <c r="Q5" s="75"/>
    </row>
    <row r="6" spans="1:20" ht="16.75" customHeight="1">
      <c r="A6" s="7"/>
      <c r="C6" s="104"/>
      <c r="D6" s="104"/>
      <c r="E6" s="104"/>
      <c r="F6" s="104"/>
      <c r="G6" s="104"/>
      <c r="H6" s="83"/>
      <c r="K6" s="18"/>
      <c r="L6" s="123" t="s">
        <v>155</v>
      </c>
      <c r="M6" s="79">
        <f ca="1">0.05*M5</f>
        <v>0</v>
      </c>
      <c r="P6" s="11" t="s">
        <v>102</v>
      </c>
      <c r="Q6" s="75">
        <v>0</v>
      </c>
    </row>
    <row r="7" spans="1:20">
      <c r="B7" s="6" t="s">
        <v>3</v>
      </c>
      <c r="C7" s="121" t="s">
        <v>145</v>
      </c>
      <c r="D7" s="102"/>
      <c r="E7" s="102"/>
      <c r="F7" s="102"/>
      <c r="G7" s="104"/>
      <c r="H7" s="84"/>
      <c r="I7" s="62"/>
      <c r="K7" s="18"/>
      <c r="L7" s="68" t="s">
        <v>142</v>
      </c>
      <c r="M7" s="87">
        <f>0.06*1.08*C_*N287</f>
        <v>0</v>
      </c>
    </row>
    <row r="8" spans="1:20" ht="16.75" customHeight="1">
      <c r="A8" s="7"/>
      <c r="C8" s="104"/>
      <c r="D8" s="104"/>
      <c r="E8" s="104"/>
      <c r="F8" s="104"/>
      <c r="G8" s="104"/>
      <c r="H8" s="84"/>
      <c r="K8" s="69" t="s">
        <v>125</v>
      </c>
      <c r="L8" s="73">
        <f>CPP</f>
        <v>4.9500000000000002E-2</v>
      </c>
      <c r="M8" s="79">
        <f ca="1">CPP*(M4+M11)</f>
        <v>0</v>
      </c>
      <c r="O8" s="94" t="s">
        <v>107</v>
      </c>
      <c r="P8" s="7"/>
      <c r="Q8" s="7"/>
      <c r="R8" s="7"/>
      <c r="S8" s="7"/>
      <c r="T8" s="7"/>
    </row>
    <row r="9" spans="1:20">
      <c r="B9" s="6" t="s">
        <v>4</v>
      </c>
      <c r="C9" s="121"/>
      <c r="D9" s="102"/>
      <c r="E9" s="102"/>
      <c r="F9" s="102"/>
      <c r="G9" s="104"/>
      <c r="H9" s="84"/>
      <c r="K9" s="70" t="s">
        <v>110</v>
      </c>
      <c r="L9" s="73">
        <f>EI</f>
        <v>2.2800000000000001E-2</v>
      </c>
      <c r="M9" s="87">
        <f ca="1">1.4*EI*(M4+M11)</f>
        <v>0</v>
      </c>
      <c r="O9" s="94" t="s">
        <v>106</v>
      </c>
      <c r="P9" s="7"/>
      <c r="Q9" s="7"/>
      <c r="R9" s="7"/>
      <c r="S9" s="7"/>
      <c r="T9" s="7"/>
    </row>
    <row r="10" spans="1:20">
      <c r="B10" s="6"/>
      <c r="C10" s="103"/>
      <c r="D10" s="103"/>
      <c r="E10" s="103"/>
      <c r="F10" s="103"/>
      <c r="G10" s="104"/>
      <c r="H10" s="84"/>
      <c r="K10" s="101" t="s">
        <v>124</v>
      </c>
      <c r="L10" s="73">
        <f>WCB</f>
        <v>1.67E-2</v>
      </c>
      <c r="M10" s="87">
        <f ca="1">WCB*M4</f>
        <v>0</v>
      </c>
      <c r="O10" s="94" t="s">
        <v>128</v>
      </c>
      <c r="P10" s="7"/>
      <c r="Q10" s="7"/>
      <c r="R10" s="7"/>
      <c r="S10" s="7"/>
      <c r="T10" s="7"/>
    </row>
    <row r="11" spans="1:20">
      <c r="C11" s="104"/>
      <c r="D11" s="104"/>
      <c r="E11" s="104"/>
      <c r="F11" s="104"/>
      <c r="G11" s="104"/>
      <c r="H11" s="85"/>
      <c r="K11" s="18"/>
      <c r="L11" s="107" t="s">
        <v>141</v>
      </c>
      <c r="M11" s="98">
        <f ca="1">0.05*M4</f>
        <v>0</v>
      </c>
      <c r="O11" s="94" t="s">
        <v>127</v>
      </c>
      <c r="P11" s="7"/>
      <c r="Q11" s="7"/>
      <c r="R11" s="7"/>
      <c r="S11" s="7"/>
      <c r="T11" s="7"/>
    </row>
    <row r="12" spans="1:20" ht="16.75" customHeight="1" thickBot="1">
      <c r="A12" s="7"/>
      <c r="B12" s="6" t="s">
        <v>5</v>
      </c>
      <c r="C12" s="121"/>
      <c r="D12" s="102"/>
      <c r="E12" s="102"/>
      <c r="F12" s="102"/>
      <c r="G12" s="104"/>
      <c r="H12" s="82"/>
      <c r="K12" s="18"/>
      <c r="L12" s="72" t="s">
        <v>104</v>
      </c>
      <c r="M12" s="88">
        <f ca="1">SUM(M4:M11)</f>
        <v>0</v>
      </c>
      <c r="O12" s="94" t="s">
        <v>126</v>
      </c>
      <c r="P12" s="7"/>
      <c r="Q12" s="7"/>
      <c r="R12" s="7"/>
      <c r="S12" s="7"/>
      <c r="T12" s="7"/>
    </row>
    <row r="13" spans="1:20" ht="16.75" customHeight="1" thickTop="1">
      <c r="A13" s="7"/>
      <c r="B13" s="10"/>
      <c r="C13" s="113"/>
      <c r="D13" s="104"/>
      <c r="E13" s="104"/>
      <c r="F13" s="104"/>
      <c r="G13" s="104"/>
      <c r="H13" s="82"/>
      <c r="I13" s="66"/>
      <c r="J13" s="66"/>
      <c r="K13" s="66"/>
      <c r="L13" s="66"/>
      <c r="M13" s="80"/>
      <c r="P13" s="7"/>
      <c r="Q13" s="7"/>
      <c r="R13" s="7"/>
      <c r="S13" s="7"/>
      <c r="T13" s="7"/>
    </row>
    <row r="14" spans="1:20" ht="16.75" customHeight="1" thickBot="1">
      <c r="A14" s="7"/>
      <c r="B14" s="10"/>
      <c r="C14" s="110"/>
      <c r="D14" s="102"/>
      <c r="E14" s="102"/>
      <c r="F14" s="102"/>
      <c r="G14" s="104"/>
      <c r="H14" s="77"/>
      <c r="I14" s="66"/>
      <c r="J14" s="66"/>
      <c r="K14" s="65" t="s">
        <v>108</v>
      </c>
      <c r="L14" s="91" t="str">
        <f>IF(RETRO=0,"NA",RETRO)</f>
        <v>NA</v>
      </c>
      <c r="M14" s="89">
        <f ca="1">RETRO*M12</f>
        <v>0</v>
      </c>
      <c r="Q14" s="141" t="s">
        <v>147</v>
      </c>
      <c r="R14" s="141"/>
      <c r="S14" s="7"/>
      <c r="T14" s="7"/>
    </row>
    <row r="15" spans="1:20" ht="16.75" customHeight="1">
      <c r="A15" s="7"/>
      <c r="B15" s="10"/>
      <c r="C15" s="111"/>
      <c r="D15" s="103"/>
      <c r="E15" s="103"/>
      <c r="F15" s="103"/>
      <c r="G15" s="104"/>
      <c r="H15" s="77"/>
      <c r="I15" s="66"/>
      <c r="J15" s="66"/>
      <c r="K15" s="74" t="s">
        <v>109</v>
      </c>
      <c r="L15" s="91" t="str">
        <f>IF(CONTINGENCY=0,"NA",CONTINGENCY)</f>
        <v>NA</v>
      </c>
      <c r="M15" s="90">
        <f ca="1">CONTINGENCY*(M12+M14)</f>
        <v>0</v>
      </c>
      <c r="O15" s="124"/>
      <c r="P15" s="125"/>
      <c r="Q15" s="125"/>
      <c r="R15" s="125"/>
      <c r="S15" s="125"/>
      <c r="T15" s="126"/>
    </row>
    <row r="16" spans="1:20" ht="16.75" customHeight="1" thickBot="1">
      <c r="A16" s="7"/>
      <c r="B16" s="10"/>
      <c r="C16" s="103"/>
      <c r="D16" s="103"/>
      <c r="E16" s="103"/>
      <c r="F16" s="103"/>
      <c r="G16" s="104"/>
      <c r="H16" s="77"/>
      <c r="I16" s="66"/>
      <c r="J16" s="66"/>
      <c r="L16" s="9" t="s">
        <v>105</v>
      </c>
      <c r="M16" s="92">
        <f ca="1">M12+M14+M15</f>
        <v>0</v>
      </c>
      <c r="O16" s="133" t="s">
        <v>154</v>
      </c>
      <c r="P16" s="134"/>
      <c r="Q16" s="134"/>
      <c r="R16" s="134"/>
      <c r="S16" s="134"/>
      <c r="T16" s="142"/>
    </row>
    <row r="17" spans="1:21" ht="17" customHeight="1" thickTop="1" thickBot="1">
      <c r="A17" s="7"/>
      <c r="C17" s="104"/>
      <c r="D17" s="104"/>
      <c r="E17" s="104"/>
      <c r="F17" s="104"/>
      <c r="G17" s="104"/>
      <c r="H17" s="78"/>
      <c r="I17" s="95"/>
      <c r="J17" s="76"/>
      <c r="K17" s="76"/>
      <c r="L17" s="76"/>
      <c r="M17" s="86"/>
      <c r="O17" s="135" t="s">
        <v>149</v>
      </c>
      <c r="P17" s="136"/>
      <c r="Q17" s="136"/>
      <c r="R17" s="136"/>
      <c r="S17" s="136"/>
      <c r="T17" s="142"/>
    </row>
    <row r="18" spans="1:21" ht="13.5" customHeight="1" thickTop="1">
      <c r="A18" s="7"/>
      <c r="C18" s="104"/>
      <c r="D18" s="104"/>
      <c r="E18" s="104"/>
      <c r="F18" s="104"/>
      <c r="G18" s="104"/>
      <c r="H18" s="66"/>
      <c r="I18" s="66"/>
      <c r="J18" s="66"/>
      <c r="K18" s="66"/>
      <c r="L18" s="66"/>
      <c r="M18" s="66"/>
      <c r="O18" s="135" t="s">
        <v>150</v>
      </c>
      <c r="P18" s="136"/>
      <c r="Q18" s="136"/>
      <c r="R18" s="136"/>
      <c r="S18" s="136"/>
      <c r="T18" s="127"/>
    </row>
    <row r="19" spans="1:21" ht="22" customHeight="1">
      <c r="A19" s="55"/>
      <c r="B19" s="100"/>
      <c r="C19" s="54"/>
      <c r="D19" s="7"/>
      <c r="E19" s="7"/>
      <c r="F19" s="7"/>
      <c r="G19" s="11" t="s">
        <v>6</v>
      </c>
      <c r="H19" s="109"/>
      <c r="I19" s="105"/>
      <c r="J19" s="105"/>
      <c r="K19" s="105"/>
      <c r="L19" s="105"/>
      <c r="M19" s="105"/>
      <c r="O19" s="133" t="s">
        <v>151</v>
      </c>
      <c r="P19" s="134"/>
      <c r="Q19" s="134"/>
      <c r="R19" s="134"/>
      <c r="S19" s="134"/>
      <c r="T19" s="127"/>
    </row>
    <row r="20" spans="1:21" ht="13.75" customHeight="1">
      <c r="A20" s="108" t="s">
        <v>148</v>
      </c>
      <c r="B20" s="106"/>
      <c r="C20" s="55"/>
      <c r="D20" s="7"/>
      <c r="E20" s="7"/>
      <c r="F20" s="7"/>
      <c r="H20" s="10"/>
      <c r="O20" s="133" t="s">
        <v>153</v>
      </c>
      <c r="P20" s="134"/>
      <c r="Q20" s="134"/>
      <c r="R20" s="134"/>
      <c r="S20" s="134"/>
      <c r="T20" s="127"/>
    </row>
    <row r="21" spans="1:21" ht="13" customHeight="1">
      <c r="A21" s="12" t="s">
        <v>7</v>
      </c>
      <c r="B21" s="13"/>
      <c r="C21" s="14"/>
      <c r="D21" s="14"/>
      <c r="E21" s="15" t="s">
        <v>8</v>
      </c>
      <c r="F21" s="14"/>
      <c r="G21" s="13"/>
      <c r="H21" s="14"/>
      <c r="I21" s="15" t="s">
        <v>131</v>
      </c>
      <c r="J21" s="13"/>
      <c r="K21" s="13"/>
      <c r="L21" s="15" t="s">
        <v>137</v>
      </c>
      <c r="M21" s="16"/>
      <c r="O21" s="133"/>
      <c r="P21" s="136"/>
      <c r="Q21" s="136"/>
      <c r="R21" s="136"/>
      <c r="S21" s="136"/>
      <c r="T21" s="127"/>
    </row>
    <row r="22" spans="1:21" ht="12" customHeight="1">
      <c r="A22" s="17" t="s">
        <v>9</v>
      </c>
      <c r="B22" s="18"/>
      <c r="C22" s="19"/>
      <c r="D22" s="19"/>
      <c r="E22" s="20" t="s">
        <v>10</v>
      </c>
      <c r="F22" s="19"/>
      <c r="G22" s="18"/>
      <c r="H22" s="19"/>
      <c r="I22" s="20" t="s">
        <v>132</v>
      </c>
      <c r="J22" s="18"/>
      <c r="K22" s="18"/>
      <c r="L22" s="20" t="s">
        <v>138</v>
      </c>
      <c r="M22" s="21"/>
      <c r="O22" s="137"/>
      <c r="P22" s="134"/>
      <c r="Q22" s="134"/>
      <c r="R22" s="134"/>
      <c r="S22" s="134"/>
      <c r="T22" s="127"/>
    </row>
    <row r="23" spans="1:21" ht="12" customHeight="1">
      <c r="A23" s="17" t="s">
        <v>11</v>
      </c>
      <c r="B23" s="18"/>
      <c r="C23" s="19"/>
      <c r="D23" s="19"/>
      <c r="E23" s="20" t="s">
        <v>12</v>
      </c>
      <c r="F23" s="19"/>
      <c r="G23" s="18"/>
      <c r="H23" s="19"/>
      <c r="I23" s="20" t="s">
        <v>133</v>
      </c>
      <c r="J23" s="18"/>
      <c r="K23" s="18"/>
      <c r="L23" s="20" t="s">
        <v>139</v>
      </c>
      <c r="M23" s="21"/>
      <c r="O23" s="137" t="s">
        <v>152</v>
      </c>
      <c r="P23" s="134"/>
      <c r="Q23" s="134"/>
      <c r="R23" s="134"/>
      <c r="S23" s="134"/>
      <c r="T23" s="127"/>
    </row>
    <row r="24" spans="1:21" ht="12" customHeight="1">
      <c r="A24" s="17" t="s">
        <v>13</v>
      </c>
      <c r="B24" s="18"/>
      <c r="C24" s="19"/>
      <c r="D24" s="19"/>
      <c r="E24" s="20" t="s">
        <v>14</v>
      </c>
      <c r="F24" s="19"/>
      <c r="G24" s="18"/>
      <c r="H24" s="19"/>
      <c r="I24" s="20" t="s">
        <v>134</v>
      </c>
      <c r="J24" s="18"/>
      <c r="K24" s="18"/>
      <c r="L24" s="20" t="s">
        <v>15</v>
      </c>
      <c r="M24" s="21"/>
      <c r="O24" s="128"/>
      <c r="P24" s="66"/>
      <c r="Q24" s="66"/>
      <c r="R24" s="66"/>
      <c r="S24" s="66"/>
      <c r="T24" s="127"/>
    </row>
    <row r="25" spans="1:21" ht="12" customHeight="1">
      <c r="A25" s="17" t="s">
        <v>129</v>
      </c>
      <c r="B25" s="18"/>
      <c r="C25" s="19"/>
      <c r="D25" s="19"/>
      <c r="E25" s="20" t="s">
        <v>16</v>
      </c>
      <c r="F25" s="19"/>
      <c r="G25" s="18"/>
      <c r="H25" s="19"/>
      <c r="I25" s="20" t="s">
        <v>135</v>
      </c>
      <c r="J25" s="18"/>
      <c r="K25" s="18"/>
      <c r="L25" s="20" t="s">
        <v>17</v>
      </c>
      <c r="M25" s="21"/>
      <c r="O25" s="128"/>
      <c r="P25" s="66"/>
      <c r="Q25" s="66"/>
      <c r="R25" s="66"/>
      <c r="S25" s="66"/>
      <c r="T25" s="127"/>
    </row>
    <row r="26" spans="1:21" ht="12" customHeight="1" thickBot="1">
      <c r="A26" s="22" t="s">
        <v>130</v>
      </c>
      <c r="B26" s="23"/>
      <c r="C26" s="24"/>
      <c r="D26" s="24"/>
      <c r="E26" s="25" t="s">
        <v>18</v>
      </c>
      <c r="F26" s="24"/>
      <c r="G26" s="23"/>
      <c r="H26" s="24"/>
      <c r="I26" s="25" t="s">
        <v>136</v>
      </c>
      <c r="J26" s="23"/>
      <c r="K26" s="23"/>
      <c r="L26" s="25" t="s">
        <v>19</v>
      </c>
      <c r="M26" s="26"/>
      <c r="O26" s="129"/>
      <c r="P26" s="130"/>
      <c r="Q26" s="130"/>
      <c r="R26" s="130"/>
      <c r="S26" s="130"/>
      <c r="T26" s="131"/>
    </row>
    <row r="27" spans="1:21" ht="13.75" customHeight="1" thickBot="1"/>
    <row r="28" spans="1:21" ht="17" thickTop="1">
      <c r="A28" s="27" t="s">
        <v>20</v>
      </c>
      <c r="B28" s="28"/>
      <c r="C28" s="29" t="s">
        <v>21</v>
      </c>
      <c r="D28" s="29"/>
      <c r="E28" s="29"/>
      <c r="F28" s="29"/>
      <c r="G28" s="29"/>
      <c r="H28" s="30"/>
      <c r="I28" s="31" t="s">
        <v>22</v>
      </c>
      <c r="J28" s="32" t="s">
        <v>23</v>
      </c>
      <c r="K28" s="33" t="s">
        <v>24</v>
      </c>
      <c r="L28" s="34" t="s">
        <v>25</v>
      </c>
      <c r="M28" s="33" t="s">
        <v>26</v>
      </c>
      <c r="O28" s="55" t="s">
        <v>122</v>
      </c>
    </row>
    <row r="29" spans="1:21" ht="17" thickBot="1">
      <c r="A29" s="35" t="s">
        <v>27</v>
      </c>
      <c r="B29" s="36" t="s">
        <v>28</v>
      </c>
      <c r="C29" s="37" t="s">
        <v>29</v>
      </c>
      <c r="D29" s="37" t="s">
        <v>30</v>
      </c>
      <c r="E29" s="37" t="s">
        <v>31</v>
      </c>
      <c r="F29" s="37" t="s">
        <v>32</v>
      </c>
      <c r="G29" s="37" t="s">
        <v>33</v>
      </c>
      <c r="H29" s="38" t="s">
        <v>34</v>
      </c>
      <c r="I29" s="39" t="s">
        <v>35</v>
      </c>
      <c r="J29" s="36" t="s">
        <v>36</v>
      </c>
      <c r="K29" s="36" t="s">
        <v>37</v>
      </c>
      <c r="L29" s="40" t="s">
        <v>38</v>
      </c>
      <c r="M29" s="36" t="s">
        <v>37</v>
      </c>
      <c r="O29" s="41" t="s">
        <v>39</v>
      </c>
      <c r="Q29" s="116"/>
    </row>
    <row r="30" spans="1:21" ht="17" thickTop="1">
      <c r="A30" s="114"/>
      <c r="B30" s="43"/>
      <c r="C30" s="44"/>
      <c r="D30" s="44"/>
      <c r="E30" s="44"/>
      <c r="F30" s="44"/>
      <c r="G30" s="44"/>
      <c r="H30" s="45"/>
      <c r="I30" s="46">
        <f>C30+1.5*D30+1.5*E30+2.25*F30+2*G30+3*H30</f>
        <v>0</v>
      </c>
      <c r="J30" s="47">
        <f ca="1">IF(I30=0,0,IF(B30="TOTAL",0,IF(A30=0,0,INDIRECT(B30))))</f>
        <v>0</v>
      </c>
      <c r="K30" s="47">
        <f ca="1">ROUND(IF(B30="TOTAL",0,IF(A30=0,0,INDIRECT(B30)*A30*I30)),2)</f>
        <v>0</v>
      </c>
      <c r="L30" s="47">
        <f>IF(B30="TOTAL",0,IF(A30=0,0,SUM(C30:H30)*A30*ROUND(J30*0.08,2)))</f>
        <v>0</v>
      </c>
      <c r="M30" s="47">
        <f t="shared" ref="M30:M70" ca="1" si="0">K30+L30</f>
        <v>0</v>
      </c>
      <c r="N30" s="63">
        <f>IF(I30=0,0,SUM(C30:H30))*A30</f>
        <v>0</v>
      </c>
      <c r="O30" s="117" t="s">
        <v>40</v>
      </c>
      <c r="P30" s="118">
        <v>25.6</v>
      </c>
      <c r="Q30" t="s">
        <v>41</v>
      </c>
      <c r="U30" s="93"/>
    </row>
    <row r="31" spans="1:21">
      <c r="A31" s="42"/>
      <c r="B31" s="43"/>
      <c r="C31" s="44"/>
      <c r="D31" s="44"/>
      <c r="E31" s="44"/>
      <c r="F31" s="44"/>
      <c r="G31" s="44"/>
      <c r="H31" s="45"/>
      <c r="I31" s="46">
        <f>C31+1.5*D31+1.5*E31+2.25*F31+2*G31+3*H31</f>
        <v>0</v>
      </c>
      <c r="J31" s="47">
        <f ca="1">IF(I31=0,0,IF(B31="TOTAL",0,IF(A31=0,0,INDIRECT(B31))))</f>
        <v>0</v>
      </c>
      <c r="K31" s="47">
        <f ca="1">ROUND(IF(B31="TOTAL",0,IF(A31=0,0,INDIRECT(B31)*A31*I31)),2)</f>
        <v>0</v>
      </c>
      <c r="L31" s="47">
        <f>IF(B31="TOTAL",0,IF(A31=0,0,SUM(C31:H31)*A31*ROUND(J31*0.08,2)))</f>
        <v>0</v>
      </c>
      <c r="M31" s="47">
        <f t="shared" ca="1" si="0"/>
        <v>0</v>
      </c>
      <c r="N31" s="63">
        <f>IF(I31=0,0,SUM(C31:H31))*A31</f>
        <v>0</v>
      </c>
      <c r="O31" s="117" t="s">
        <v>42</v>
      </c>
      <c r="P31" s="118">
        <v>25.6</v>
      </c>
      <c r="Q31" t="s">
        <v>43</v>
      </c>
      <c r="U31" s="93"/>
    </row>
    <row r="32" spans="1:21">
      <c r="A32" s="42"/>
      <c r="B32" s="122"/>
      <c r="C32" s="44"/>
      <c r="D32" s="44"/>
      <c r="E32" s="44"/>
      <c r="F32" s="44"/>
      <c r="G32" s="44"/>
      <c r="H32" s="45"/>
      <c r="I32" s="46">
        <f>C32+1.5*D32+1.5*E32+2.25*F32+2*G32+3*H32</f>
        <v>0</v>
      </c>
      <c r="J32" s="47">
        <f ca="1">IF(I32=0,0,IF(B32="TOTAL",0,IF(A32=0,0,INDIRECT(B32))))</f>
        <v>0</v>
      </c>
      <c r="K32" s="47">
        <f ca="1">ROUND(IF(B32="TOTAL",0,IF(A32=0,0,INDIRECT(B32)*A32*I32)),2)</f>
        <v>0</v>
      </c>
      <c r="L32" s="47">
        <f>IF(B32="TOTAL",0,IF(A32=0,0,SUM(C32:H32)*A32*ROUND(J32*0.08,2)))</f>
        <v>0</v>
      </c>
      <c r="M32" s="47">
        <f t="shared" ca="1" si="0"/>
        <v>0</v>
      </c>
      <c r="N32" s="63">
        <f>IF(I32=0,0,SUM(C32:H32))*A32</f>
        <v>0</v>
      </c>
      <c r="O32" s="117" t="s">
        <v>44</v>
      </c>
      <c r="P32" s="118">
        <v>25.1</v>
      </c>
      <c r="Q32" t="s">
        <v>45</v>
      </c>
      <c r="U32" s="93"/>
    </row>
    <row r="33" spans="1:23">
      <c r="A33" s="42"/>
      <c r="B33" s="43"/>
      <c r="C33" s="44"/>
      <c r="D33" s="44"/>
      <c r="E33" s="44"/>
      <c r="F33" s="44"/>
      <c r="G33" s="44"/>
      <c r="H33" s="45"/>
      <c r="I33" s="46">
        <f>C33+1.5*D33+1.5*E33+2.25*F33+2*G33+3*H33</f>
        <v>0</v>
      </c>
      <c r="J33" s="47">
        <f ca="1">IF(I33=0,0,IF(B33="TOTAL",0,IF(A33=0,0,INDIRECT(B33))))</f>
        <v>0</v>
      </c>
      <c r="K33" s="47">
        <f ca="1">ROUND(IF(B33="TOTAL",0,IF(A33=0,0,INDIRECT(B33)*A33*I33)),2)</f>
        <v>0</v>
      </c>
      <c r="L33" s="47">
        <f>IF(B33="TOTAL",0,IF(A33=0,0,SUM(C33:H33)*A33*ROUND(J33*0.08,2)))</f>
        <v>0</v>
      </c>
      <c r="M33" s="47">
        <f t="shared" ca="1" si="0"/>
        <v>0</v>
      </c>
      <c r="N33" s="63">
        <f>IF(I33=0,0,SUM(C33:H33))*A33</f>
        <v>0</v>
      </c>
      <c r="O33" s="117" t="s">
        <v>46</v>
      </c>
      <c r="P33" s="119">
        <v>24.58</v>
      </c>
      <c r="Q33" t="s">
        <v>47</v>
      </c>
      <c r="U33" s="99"/>
      <c r="V33" s="7"/>
      <c r="W33" s="7"/>
    </row>
    <row r="34" spans="1:23">
      <c r="A34" s="42"/>
      <c r="B34" s="43"/>
      <c r="C34" s="44"/>
      <c r="D34" s="44"/>
      <c r="E34" s="44"/>
      <c r="F34" s="44"/>
      <c r="G34" s="44"/>
      <c r="H34" s="45"/>
      <c r="I34" s="46">
        <f t="shared" ref="I34:I70" si="1">C34+1.5*D34+1.5*E34+2.25*F34+2*G34+3*H34</f>
        <v>0</v>
      </c>
      <c r="J34" s="47">
        <f t="shared" ref="J34:J70" ca="1" si="2">IF(I34=0,0,IF(B34="TOTAL",0,IF(A34=0,0,INDIRECT(B34))))</f>
        <v>0</v>
      </c>
      <c r="K34" s="47">
        <f t="shared" ref="K34:K70" ca="1" si="3">ROUND(IF(B34="TOTAL",0,IF(A34=0,0,INDIRECT(B34)*A34*I34)),2)</f>
        <v>0</v>
      </c>
      <c r="L34" s="47">
        <f t="shared" ref="L34:L70" si="4">IF(B34="TOTAL",0,IF(A34=0,0,SUM(C34:H34)*A34*ROUND(J34*0.08,2)))</f>
        <v>0</v>
      </c>
      <c r="M34" s="47">
        <f t="shared" ca="1" si="0"/>
        <v>0</v>
      </c>
      <c r="N34" s="63">
        <f t="shared" ref="N34:N87" si="5">IF(I34=0,0,SUM(C34:H34))*A34</f>
        <v>0</v>
      </c>
      <c r="O34" s="117" t="s">
        <v>48</v>
      </c>
      <c r="P34" s="118">
        <v>25.6</v>
      </c>
      <c r="Q34" t="s">
        <v>49</v>
      </c>
      <c r="U34" s="93"/>
    </row>
    <row r="35" spans="1:23">
      <c r="A35" s="42"/>
      <c r="B35" s="43"/>
      <c r="C35" s="44"/>
      <c r="D35" s="44"/>
      <c r="E35" s="44"/>
      <c r="F35" s="44"/>
      <c r="G35" s="44"/>
      <c r="H35" s="45"/>
      <c r="I35" s="46">
        <f t="shared" si="1"/>
        <v>0</v>
      </c>
      <c r="J35" s="47">
        <f t="shared" ca="1" si="2"/>
        <v>0</v>
      </c>
      <c r="K35" s="47">
        <f t="shared" ca="1" si="3"/>
        <v>0</v>
      </c>
      <c r="L35" s="47">
        <f t="shared" si="4"/>
        <v>0</v>
      </c>
      <c r="M35" s="47">
        <f t="shared" ca="1" si="0"/>
        <v>0</v>
      </c>
      <c r="N35" s="63">
        <f t="shared" si="5"/>
        <v>0</v>
      </c>
      <c r="O35" s="117" t="s">
        <v>143</v>
      </c>
      <c r="P35" s="118">
        <v>25.6</v>
      </c>
      <c r="Q35" t="s">
        <v>50</v>
      </c>
      <c r="U35" s="93"/>
    </row>
    <row r="36" spans="1:23">
      <c r="A36" s="42"/>
      <c r="B36" s="43"/>
      <c r="C36" s="44"/>
      <c r="D36" s="44"/>
      <c r="E36" s="44"/>
      <c r="F36" s="44"/>
      <c r="G36" s="44"/>
      <c r="H36" s="45"/>
      <c r="I36" s="46">
        <f t="shared" si="1"/>
        <v>0</v>
      </c>
      <c r="J36" s="47">
        <f t="shared" ca="1" si="2"/>
        <v>0</v>
      </c>
      <c r="K36" s="47">
        <f t="shared" ca="1" si="3"/>
        <v>0</v>
      </c>
      <c r="L36" s="47">
        <f t="shared" si="4"/>
        <v>0</v>
      </c>
      <c r="M36" s="47">
        <f t="shared" ca="1" si="0"/>
        <v>0</v>
      </c>
      <c r="N36" s="63">
        <f t="shared" si="5"/>
        <v>0</v>
      </c>
      <c r="O36" s="117" t="s">
        <v>51</v>
      </c>
      <c r="P36" s="118">
        <v>25.1</v>
      </c>
      <c r="Q36" t="s">
        <v>52</v>
      </c>
      <c r="U36" s="93"/>
    </row>
    <row r="37" spans="1:23">
      <c r="A37" s="115"/>
      <c r="B37" s="43"/>
      <c r="C37" s="44"/>
      <c r="D37" s="44"/>
      <c r="E37" s="44"/>
      <c r="F37" s="44"/>
      <c r="G37" s="44"/>
      <c r="H37" s="45"/>
      <c r="I37" s="46">
        <f t="shared" si="1"/>
        <v>0</v>
      </c>
      <c r="J37" s="47">
        <f t="shared" ca="1" si="2"/>
        <v>0</v>
      </c>
      <c r="K37" s="47">
        <f t="shared" ca="1" si="3"/>
        <v>0</v>
      </c>
      <c r="L37" s="47">
        <f t="shared" si="4"/>
        <v>0</v>
      </c>
      <c r="M37" s="47">
        <f t="shared" ca="1" si="0"/>
        <v>0</v>
      </c>
      <c r="N37" s="63">
        <f t="shared" si="5"/>
        <v>0</v>
      </c>
      <c r="O37" s="117" t="s">
        <v>53</v>
      </c>
      <c r="P37" s="119">
        <v>24.58</v>
      </c>
      <c r="Q37" t="s">
        <v>54</v>
      </c>
      <c r="U37" s="93"/>
    </row>
    <row r="38" spans="1:23">
      <c r="A38" s="42"/>
      <c r="B38" s="43"/>
      <c r="C38" s="44"/>
      <c r="D38" s="44"/>
      <c r="E38" s="44"/>
      <c r="F38" s="44"/>
      <c r="G38" s="44"/>
      <c r="H38" s="45"/>
      <c r="I38" s="46">
        <f t="shared" si="1"/>
        <v>0</v>
      </c>
      <c r="J38" s="47">
        <f t="shared" ca="1" si="2"/>
        <v>0</v>
      </c>
      <c r="K38" s="47">
        <f t="shared" ca="1" si="3"/>
        <v>0</v>
      </c>
      <c r="L38" s="47">
        <f t="shared" si="4"/>
        <v>0</v>
      </c>
      <c r="M38" s="47">
        <f t="shared" ca="1" si="0"/>
        <v>0</v>
      </c>
      <c r="N38" s="63">
        <f t="shared" si="5"/>
        <v>0</v>
      </c>
      <c r="O38" s="117" t="s">
        <v>55</v>
      </c>
      <c r="P38" s="118">
        <v>25.1</v>
      </c>
      <c r="Q38" t="s">
        <v>56</v>
      </c>
      <c r="U38" s="93"/>
    </row>
    <row r="39" spans="1:23">
      <c r="A39" s="42"/>
      <c r="B39" s="43"/>
      <c r="C39" s="44"/>
      <c r="D39" s="44"/>
      <c r="E39" s="44"/>
      <c r="F39" s="44"/>
      <c r="G39" s="44"/>
      <c r="H39" s="45"/>
      <c r="I39" s="46">
        <f t="shared" si="1"/>
        <v>0</v>
      </c>
      <c r="J39" s="47">
        <f t="shared" ca="1" si="2"/>
        <v>0</v>
      </c>
      <c r="K39" s="47">
        <f t="shared" ca="1" si="3"/>
        <v>0</v>
      </c>
      <c r="L39" s="47">
        <f t="shared" si="4"/>
        <v>0</v>
      </c>
      <c r="M39" s="47">
        <f t="shared" ca="1" si="0"/>
        <v>0</v>
      </c>
      <c r="N39" s="63">
        <f t="shared" si="5"/>
        <v>0</v>
      </c>
      <c r="O39" s="117" t="s">
        <v>57</v>
      </c>
      <c r="P39" s="118">
        <v>25.6</v>
      </c>
      <c r="Q39" t="s">
        <v>58</v>
      </c>
      <c r="U39" s="93"/>
    </row>
    <row r="40" spans="1:23">
      <c r="A40" s="42"/>
      <c r="B40" s="43"/>
      <c r="C40" s="44"/>
      <c r="D40" s="44"/>
      <c r="E40" s="44"/>
      <c r="F40" s="44"/>
      <c r="G40" s="44"/>
      <c r="H40" s="45"/>
      <c r="I40" s="46">
        <f t="shared" si="1"/>
        <v>0</v>
      </c>
      <c r="J40" s="47">
        <f t="shared" ca="1" si="2"/>
        <v>0</v>
      </c>
      <c r="K40" s="47">
        <f t="shared" ca="1" si="3"/>
        <v>0</v>
      </c>
      <c r="L40" s="47">
        <f t="shared" si="4"/>
        <v>0</v>
      </c>
      <c r="M40" s="47">
        <f t="shared" ca="1" si="0"/>
        <v>0</v>
      </c>
      <c r="N40" s="63">
        <f t="shared" si="5"/>
        <v>0</v>
      </c>
      <c r="O40" s="117" t="s">
        <v>59</v>
      </c>
      <c r="P40" s="118">
        <v>25.1</v>
      </c>
      <c r="Q40" t="s">
        <v>60</v>
      </c>
      <c r="U40" s="93"/>
    </row>
    <row r="41" spans="1:23">
      <c r="A41" s="42"/>
      <c r="B41" s="43"/>
      <c r="C41" s="44"/>
      <c r="D41" s="44"/>
      <c r="E41" s="44"/>
      <c r="F41" s="44"/>
      <c r="G41" s="44"/>
      <c r="H41" s="45"/>
      <c r="I41" s="46">
        <f t="shared" si="1"/>
        <v>0</v>
      </c>
      <c r="J41" s="47">
        <f t="shared" ca="1" si="2"/>
        <v>0</v>
      </c>
      <c r="K41" s="47">
        <f t="shared" ca="1" si="3"/>
        <v>0</v>
      </c>
      <c r="L41" s="47">
        <f t="shared" si="4"/>
        <v>0</v>
      </c>
      <c r="M41" s="47">
        <f t="shared" ca="1" si="0"/>
        <v>0</v>
      </c>
      <c r="N41" s="63">
        <f t="shared" si="5"/>
        <v>0</v>
      </c>
      <c r="O41" s="117" t="s">
        <v>61</v>
      </c>
      <c r="P41" s="119">
        <v>24.58</v>
      </c>
      <c r="Q41" t="s">
        <v>62</v>
      </c>
      <c r="U41" s="93"/>
    </row>
    <row r="42" spans="1:23">
      <c r="A42" s="42"/>
      <c r="B42" s="43"/>
      <c r="C42" s="44"/>
      <c r="D42" s="44"/>
      <c r="E42" s="44"/>
      <c r="F42" s="44"/>
      <c r="G42" s="44"/>
      <c r="H42" s="45"/>
      <c r="I42" s="46">
        <f t="shared" si="1"/>
        <v>0</v>
      </c>
      <c r="J42" s="47">
        <f t="shared" ca="1" si="2"/>
        <v>0</v>
      </c>
      <c r="K42" s="47">
        <f t="shared" ca="1" si="3"/>
        <v>0</v>
      </c>
      <c r="L42" s="47">
        <f t="shared" si="4"/>
        <v>0</v>
      </c>
      <c r="M42" s="47">
        <f t="shared" ca="1" si="0"/>
        <v>0</v>
      </c>
      <c r="N42" s="63">
        <f t="shared" si="5"/>
        <v>0</v>
      </c>
      <c r="O42" s="117" t="s">
        <v>63</v>
      </c>
      <c r="P42" s="118">
        <v>25.6</v>
      </c>
      <c r="Q42" t="s">
        <v>64</v>
      </c>
      <c r="U42" s="93"/>
    </row>
    <row r="43" spans="1:23">
      <c r="A43" s="115"/>
      <c r="B43" s="43"/>
      <c r="C43" s="44"/>
      <c r="D43" s="44"/>
      <c r="E43" s="44"/>
      <c r="F43" s="44"/>
      <c r="G43" s="44"/>
      <c r="H43" s="45"/>
      <c r="I43" s="46">
        <f t="shared" si="1"/>
        <v>0</v>
      </c>
      <c r="J43" s="47">
        <f t="shared" ca="1" si="2"/>
        <v>0</v>
      </c>
      <c r="K43" s="47">
        <f t="shared" ca="1" si="3"/>
        <v>0</v>
      </c>
      <c r="L43" s="47">
        <f t="shared" si="4"/>
        <v>0</v>
      </c>
      <c r="M43" s="47">
        <f t="shared" ca="1" si="0"/>
        <v>0</v>
      </c>
      <c r="N43" s="63">
        <f t="shared" si="5"/>
        <v>0</v>
      </c>
      <c r="O43" s="117" t="s">
        <v>65</v>
      </c>
      <c r="P43" s="118">
        <v>25.1</v>
      </c>
      <c r="Q43" t="s">
        <v>66</v>
      </c>
      <c r="U43" s="93"/>
    </row>
    <row r="44" spans="1:23">
      <c r="A44" s="42"/>
      <c r="B44" s="43"/>
      <c r="C44" s="44"/>
      <c r="D44" s="44"/>
      <c r="E44" s="44"/>
      <c r="F44" s="44"/>
      <c r="G44" s="44"/>
      <c r="H44" s="45"/>
      <c r="I44" s="46">
        <f t="shared" si="1"/>
        <v>0</v>
      </c>
      <c r="J44" s="47">
        <f t="shared" ca="1" si="2"/>
        <v>0</v>
      </c>
      <c r="K44" s="47">
        <f t="shared" ca="1" si="3"/>
        <v>0</v>
      </c>
      <c r="L44" s="47">
        <f t="shared" si="4"/>
        <v>0</v>
      </c>
      <c r="M44" s="47">
        <f t="shared" ca="1" si="0"/>
        <v>0</v>
      </c>
      <c r="N44" s="63">
        <f t="shared" si="5"/>
        <v>0</v>
      </c>
      <c r="O44" s="117" t="s">
        <v>67</v>
      </c>
      <c r="P44" s="119">
        <v>24.58</v>
      </c>
      <c r="Q44" t="s">
        <v>68</v>
      </c>
      <c r="U44" s="93"/>
    </row>
    <row r="45" spans="1:23">
      <c r="A45" s="42"/>
      <c r="B45" s="43"/>
      <c r="C45" s="44"/>
      <c r="D45" s="44"/>
      <c r="E45" s="44"/>
      <c r="F45" s="44"/>
      <c r="G45" s="44"/>
      <c r="H45" s="45"/>
      <c r="I45" s="46">
        <f t="shared" si="1"/>
        <v>0</v>
      </c>
      <c r="J45" s="47">
        <f t="shared" ca="1" si="2"/>
        <v>0</v>
      </c>
      <c r="K45" s="47">
        <f t="shared" ca="1" si="3"/>
        <v>0</v>
      </c>
      <c r="L45" s="47">
        <f t="shared" si="4"/>
        <v>0</v>
      </c>
      <c r="M45" s="47">
        <f t="shared" ca="1" si="0"/>
        <v>0</v>
      </c>
      <c r="N45" s="63">
        <f t="shared" si="5"/>
        <v>0</v>
      </c>
      <c r="O45" s="117" t="s">
        <v>69</v>
      </c>
      <c r="P45" s="118">
        <v>25.6</v>
      </c>
      <c r="Q45" t="s">
        <v>70</v>
      </c>
      <c r="U45" s="93"/>
    </row>
    <row r="46" spans="1:23">
      <c r="A46" s="42"/>
      <c r="B46" s="43"/>
      <c r="C46" s="44"/>
      <c r="D46" s="44"/>
      <c r="E46" s="44"/>
      <c r="F46" s="44"/>
      <c r="G46" s="44"/>
      <c r="H46" s="45"/>
      <c r="I46" s="46">
        <f t="shared" si="1"/>
        <v>0</v>
      </c>
      <c r="J46" s="47">
        <f t="shared" ca="1" si="2"/>
        <v>0</v>
      </c>
      <c r="K46" s="47">
        <f t="shared" ca="1" si="3"/>
        <v>0</v>
      </c>
      <c r="L46" s="47">
        <f t="shared" si="4"/>
        <v>0</v>
      </c>
      <c r="M46" s="47">
        <f t="shared" ca="1" si="0"/>
        <v>0</v>
      </c>
      <c r="N46" s="63">
        <f t="shared" si="5"/>
        <v>0</v>
      </c>
      <c r="O46" s="117" t="s">
        <v>71</v>
      </c>
      <c r="P46" s="118">
        <v>25.1</v>
      </c>
      <c r="Q46" t="s">
        <v>72</v>
      </c>
      <c r="U46" s="93"/>
    </row>
    <row r="47" spans="1:23">
      <c r="A47" s="42"/>
      <c r="B47" s="43"/>
      <c r="C47" s="44"/>
      <c r="D47" s="44"/>
      <c r="E47" s="44"/>
      <c r="F47" s="44"/>
      <c r="G47" s="44"/>
      <c r="H47" s="45"/>
      <c r="I47" s="46">
        <f t="shared" si="1"/>
        <v>0</v>
      </c>
      <c r="J47" s="47">
        <f t="shared" ca="1" si="2"/>
        <v>0</v>
      </c>
      <c r="K47" s="47">
        <f t="shared" ca="1" si="3"/>
        <v>0</v>
      </c>
      <c r="L47" s="47">
        <f t="shared" si="4"/>
        <v>0</v>
      </c>
      <c r="M47" s="47">
        <f t="shared" ca="1" si="0"/>
        <v>0</v>
      </c>
      <c r="N47" s="63">
        <f t="shared" si="5"/>
        <v>0</v>
      </c>
      <c r="O47" s="117" t="s">
        <v>73</v>
      </c>
      <c r="P47" s="119">
        <v>24.58</v>
      </c>
      <c r="Q47" t="s">
        <v>74</v>
      </c>
      <c r="U47" s="93"/>
    </row>
    <row r="48" spans="1:23">
      <c r="A48" s="42"/>
      <c r="B48" s="43"/>
      <c r="C48" s="44"/>
      <c r="D48" s="44"/>
      <c r="E48" s="44"/>
      <c r="F48" s="44"/>
      <c r="G48" s="44"/>
      <c r="H48" s="45"/>
      <c r="I48" s="46">
        <f t="shared" si="1"/>
        <v>0</v>
      </c>
      <c r="J48" s="47">
        <f t="shared" ca="1" si="2"/>
        <v>0</v>
      </c>
      <c r="K48" s="47">
        <f t="shared" ca="1" si="3"/>
        <v>0</v>
      </c>
      <c r="L48" s="47">
        <f t="shared" si="4"/>
        <v>0</v>
      </c>
      <c r="M48" s="47">
        <f t="shared" ca="1" si="0"/>
        <v>0</v>
      </c>
      <c r="N48" s="63">
        <f t="shared" si="5"/>
        <v>0</v>
      </c>
      <c r="O48" s="117" t="s">
        <v>75</v>
      </c>
      <c r="P48" s="118">
        <v>25.6</v>
      </c>
      <c r="Q48" t="s">
        <v>76</v>
      </c>
      <c r="U48" s="93"/>
    </row>
    <row r="49" spans="1:21">
      <c r="A49" s="42"/>
      <c r="B49" s="43"/>
      <c r="C49" s="44"/>
      <c r="D49" s="44"/>
      <c r="E49" s="44"/>
      <c r="F49" s="44"/>
      <c r="G49" s="44"/>
      <c r="H49" s="45"/>
      <c r="I49" s="46">
        <f t="shared" si="1"/>
        <v>0</v>
      </c>
      <c r="J49" s="47">
        <f t="shared" ca="1" si="2"/>
        <v>0</v>
      </c>
      <c r="K49" s="47">
        <f t="shared" ca="1" si="3"/>
        <v>0</v>
      </c>
      <c r="L49" s="47">
        <f t="shared" si="4"/>
        <v>0</v>
      </c>
      <c r="M49" s="47">
        <f t="shared" ca="1" si="0"/>
        <v>0</v>
      </c>
      <c r="N49" s="63">
        <f t="shared" si="5"/>
        <v>0</v>
      </c>
      <c r="O49" s="117" t="s">
        <v>77</v>
      </c>
      <c r="P49" s="118">
        <v>25.6</v>
      </c>
      <c r="Q49" t="s">
        <v>78</v>
      </c>
      <c r="U49" s="93"/>
    </row>
    <row r="50" spans="1:21">
      <c r="A50" s="42"/>
      <c r="B50" s="43"/>
      <c r="C50" s="44"/>
      <c r="D50" s="44"/>
      <c r="E50" s="44"/>
      <c r="F50" s="44"/>
      <c r="G50" s="44"/>
      <c r="H50" s="45"/>
      <c r="I50" s="46">
        <f t="shared" si="1"/>
        <v>0</v>
      </c>
      <c r="J50" s="47">
        <f t="shared" ca="1" si="2"/>
        <v>0</v>
      </c>
      <c r="K50" s="47">
        <f t="shared" ca="1" si="3"/>
        <v>0</v>
      </c>
      <c r="L50" s="47">
        <f t="shared" si="4"/>
        <v>0</v>
      </c>
      <c r="M50" s="47">
        <f t="shared" ca="1" si="0"/>
        <v>0</v>
      </c>
      <c r="N50" s="63">
        <f t="shared" si="5"/>
        <v>0</v>
      </c>
      <c r="O50" s="117" t="s">
        <v>79</v>
      </c>
      <c r="P50" s="118">
        <v>25.1</v>
      </c>
      <c r="Q50" s="59" t="s">
        <v>80</v>
      </c>
      <c r="R50" s="60"/>
      <c r="U50" s="93"/>
    </row>
    <row r="51" spans="1:21">
      <c r="A51" s="42"/>
      <c r="B51" s="43"/>
      <c r="C51" s="44"/>
      <c r="D51" s="44"/>
      <c r="E51" s="44"/>
      <c r="F51" s="44"/>
      <c r="G51" s="44"/>
      <c r="H51" s="45"/>
      <c r="I51" s="46">
        <f t="shared" si="1"/>
        <v>0</v>
      </c>
      <c r="J51" s="47">
        <f t="shared" ca="1" si="2"/>
        <v>0</v>
      </c>
      <c r="K51" s="47">
        <f t="shared" ca="1" si="3"/>
        <v>0</v>
      </c>
      <c r="L51" s="47">
        <f t="shared" si="4"/>
        <v>0</v>
      </c>
      <c r="M51" s="47">
        <f t="shared" ca="1" si="0"/>
        <v>0</v>
      </c>
      <c r="N51" s="63">
        <f t="shared" si="5"/>
        <v>0</v>
      </c>
      <c r="O51" s="117" t="s">
        <v>81</v>
      </c>
      <c r="P51" s="119">
        <v>24.58</v>
      </c>
      <c r="Q51" s="61" t="s">
        <v>82</v>
      </c>
      <c r="R51" s="59"/>
      <c r="U51" s="93"/>
    </row>
    <row r="52" spans="1:21">
      <c r="A52" s="42"/>
      <c r="B52" s="43"/>
      <c r="C52" s="44"/>
      <c r="D52" s="44"/>
      <c r="E52" s="44"/>
      <c r="F52" s="44"/>
      <c r="G52" s="44"/>
      <c r="H52" s="45"/>
      <c r="I52" s="46">
        <f t="shared" si="1"/>
        <v>0</v>
      </c>
      <c r="J52" s="47">
        <f t="shared" ca="1" si="2"/>
        <v>0</v>
      </c>
      <c r="K52" s="47">
        <f t="shared" ca="1" si="3"/>
        <v>0</v>
      </c>
      <c r="L52" s="47">
        <f t="shared" si="4"/>
        <v>0</v>
      </c>
      <c r="M52" s="47">
        <f t="shared" ca="1" si="0"/>
        <v>0</v>
      </c>
      <c r="N52" s="63">
        <f t="shared" si="5"/>
        <v>0</v>
      </c>
      <c r="O52" s="117" t="s">
        <v>83</v>
      </c>
      <c r="P52" s="118">
        <v>25.6</v>
      </c>
      <c r="Q52" t="s">
        <v>84</v>
      </c>
      <c r="U52" s="93"/>
    </row>
    <row r="53" spans="1:21">
      <c r="A53" s="42"/>
      <c r="B53" s="43"/>
      <c r="C53" s="44"/>
      <c r="D53" s="44"/>
      <c r="E53" s="44"/>
      <c r="F53" s="44"/>
      <c r="G53" s="44"/>
      <c r="H53" s="45"/>
      <c r="I53" s="46">
        <f t="shared" si="1"/>
        <v>0</v>
      </c>
      <c r="J53" s="47">
        <f t="shared" ca="1" si="2"/>
        <v>0</v>
      </c>
      <c r="K53" s="47">
        <f t="shared" ca="1" si="3"/>
        <v>0</v>
      </c>
      <c r="L53" s="47">
        <f t="shared" si="4"/>
        <v>0</v>
      </c>
      <c r="M53" s="47">
        <f t="shared" ca="1" si="0"/>
        <v>0</v>
      </c>
      <c r="N53" s="63">
        <f t="shared" si="5"/>
        <v>0</v>
      </c>
      <c r="O53" s="117" t="s">
        <v>85</v>
      </c>
      <c r="P53" s="118">
        <v>35.840000000000003</v>
      </c>
      <c r="Q53" t="s">
        <v>86</v>
      </c>
      <c r="U53" s="93"/>
    </row>
    <row r="54" spans="1:21">
      <c r="A54" s="42"/>
      <c r="B54" s="43"/>
      <c r="C54" s="44"/>
      <c r="D54" s="44"/>
      <c r="E54" s="44"/>
      <c r="F54" s="44"/>
      <c r="G54" s="44"/>
      <c r="H54" s="45"/>
      <c r="I54" s="46">
        <f t="shared" si="1"/>
        <v>0</v>
      </c>
      <c r="J54" s="47">
        <f t="shared" ca="1" si="2"/>
        <v>0</v>
      </c>
      <c r="K54" s="47">
        <f t="shared" ca="1" si="3"/>
        <v>0</v>
      </c>
      <c r="L54" s="47">
        <f t="shared" si="4"/>
        <v>0</v>
      </c>
      <c r="M54" s="47">
        <f t="shared" ca="1" si="0"/>
        <v>0</v>
      </c>
      <c r="N54" s="63">
        <f t="shared" si="5"/>
        <v>0</v>
      </c>
      <c r="O54" s="117" t="s">
        <v>87</v>
      </c>
      <c r="P54" s="118">
        <v>25.1</v>
      </c>
      <c r="Q54" t="s">
        <v>88</v>
      </c>
      <c r="U54" s="93"/>
    </row>
    <row r="55" spans="1:21">
      <c r="A55" s="112"/>
      <c r="B55" s="43"/>
      <c r="C55" s="44"/>
      <c r="D55" s="44"/>
      <c r="E55" s="44"/>
      <c r="F55" s="44"/>
      <c r="G55" s="44"/>
      <c r="H55" s="45"/>
      <c r="I55" s="46">
        <f t="shared" si="1"/>
        <v>0</v>
      </c>
      <c r="J55" s="47">
        <f t="shared" ca="1" si="2"/>
        <v>0</v>
      </c>
      <c r="K55" s="47">
        <f t="shared" ca="1" si="3"/>
        <v>0</v>
      </c>
      <c r="L55" s="47">
        <f t="shared" si="4"/>
        <v>0</v>
      </c>
      <c r="M55" s="47">
        <f t="shared" ca="1" si="0"/>
        <v>0</v>
      </c>
      <c r="N55" s="63">
        <f t="shared" si="5"/>
        <v>0</v>
      </c>
      <c r="O55" s="117" t="s">
        <v>89</v>
      </c>
      <c r="P55" s="132">
        <v>25.6</v>
      </c>
      <c r="Q55" t="s">
        <v>90</v>
      </c>
      <c r="U55" s="93"/>
    </row>
    <row r="56" spans="1:21">
      <c r="A56" s="42"/>
      <c r="B56" s="43"/>
      <c r="C56" s="44"/>
      <c r="D56" s="44"/>
      <c r="E56" s="44"/>
      <c r="F56" s="44"/>
      <c r="G56" s="44"/>
      <c r="H56" s="45"/>
      <c r="I56" s="46">
        <f t="shared" si="1"/>
        <v>0</v>
      </c>
      <c r="J56" s="47">
        <f t="shared" ca="1" si="2"/>
        <v>0</v>
      </c>
      <c r="K56" s="47">
        <f t="shared" ca="1" si="3"/>
        <v>0</v>
      </c>
      <c r="L56" s="47">
        <f t="shared" si="4"/>
        <v>0</v>
      </c>
      <c r="M56" s="47">
        <f t="shared" ca="1" si="0"/>
        <v>0</v>
      </c>
      <c r="N56" s="63">
        <f t="shared" si="5"/>
        <v>0</v>
      </c>
      <c r="O56" s="117" t="s">
        <v>91</v>
      </c>
      <c r="P56" s="132">
        <v>25.6</v>
      </c>
      <c r="Q56" t="s">
        <v>92</v>
      </c>
      <c r="U56" s="93"/>
    </row>
    <row r="57" spans="1:21">
      <c r="A57" s="42"/>
      <c r="B57" s="43"/>
      <c r="C57" s="44"/>
      <c r="D57" s="44"/>
      <c r="E57" s="44"/>
      <c r="F57" s="44"/>
      <c r="G57" s="44"/>
      <c r="H57" s="45"/>
      <c r="I57" s="46">
        <f t="shared" si="1"/>
        <v>0</v>
      </c>
      <c r="J57" s="47">
        <f t="shared" ca="1" si="2"/>
        <v>0</v>
      </c>
      <c r="K57" s="47">
        <f t="shared" ca="1" si="3"/>
        <v>0</v>
      </c>
      <c r="L57" s="47">
        <f t="shared" si="4"/>
        <v>0</v>
      </c>
      <c r="M57" s="47">
        <f t="shared" ca="1" si="0"/>
        <v>0</v>
      </c>
      <c r="N57" s="63">
        <f t="shared" si="5"/>
        <v>0</v>
      </c>
      <c r="O57" s="117" t="s">
        <v>93</v>
      </c>
      <c r="P57" s="118">
        <v>25.1</v>
      </c>
      <c r="Q57" t="s">
        <v>94</v>
      </c>
      <c r="U57" s="93"/>
    </row>
    <row r="58" spans="1:21">
      <c r="A58" s="42"/>
      <c r="B58" s="43"/>
      <c r="C58" s="44"/>
      <c r="D58" s="44"/>
      <c r="E58" s="44"/>
      <c r="F58" s="44"/>
      <c r="G58" s="44"/>
      <c r="H58" s="45"/>
      <c r="I58" s="46">
        <f t="shared" si="1"/>
        <v>0</v>
      </c>
      <c r="J58" s="47">
        <f t="shared" ca="1" si="2"/>
        <v>0</v>
      </c>
      <c r="K58" s="47">
        <f t="shared" ca="1" si="3"/>
        <v>0</v>
      </c>
      <c r="L58" s="47">
        <f t="shared" si="4"/>
        <v>0</v>
      </c>
      <c r="M58" s="47">
        <f t="shared" ca="1" si="0"/>
        <v>0</v>
      </c>
      <c r="N58" s="63">
        <f t="shared" si="5"/>
        <v>0</v>
      </c>
      <c r="O58" s="117" t="s">
        <v>95</v>
      </c>
      <c r="P58" s="119">
        <v>24.58</v>
      </c>
      <c r="Q58" t="s">
        <v>96</v>
      </c>
      <c r="U58" s="93"/>
    </row>
    <row r="59" spans="1:21">
      <c r="A59" s="42"/>
      <c r="B59" s="43"/>
      <c r="C59" s="44"/>
      <c r="D59" s="44"/>
      <c r="E59" s="44"/>
      <c r="F59" s="44"/>
      <c r="G59" s="44"/>
      <c r="H59" s="45"/>
      <c r="I59" s="46">
        <f t="shared" si="1"/>
        <v>0</v>
      </c>
      <c r="J59" s="47">
        <f t="shared" ca="1" si="2"/>
        <v>0</v>
      </c>
      <c r="K59" s="47">
        <f t="shared" ca="1" si="3"/>
        <v>0</v>
      </c>
      <c r="L59" s="47">
        <f t="shared" si="4"/>
        <v>0</v>
      </c>
      <c r="M59" s="47">
        <f t="shared" ca="1" si="0"/>
        <v>0</v>
      </c>
      <c r="N59" s="63">
        <f t="shared" si="5"/>
        <v>0</v>
      </c>
      <c r="O59" s="117" t="s">
        <v>97</v>
      </c>
      <c r="P59" s="132">
        <v>25.1</v>
      </c>
      <c r="Q59" t="s">
        <v>140</v>
      </c>
      <c r="U59" s="93"/>
    </row>
    <row r="60" spans="1:21">
      <c r="A60" s="42"/>
      <c r="B60" s="43"/>
      <c r="C60" s="44"/>
      <c r="D60" s="44"/>
      <c r="E60" s="44"/>
      <c r="F60" s="44"/>
      <c r="G60" s="44"/>
      <c r="H60" s="45"/>
      <c r="I60" s="46">
        <f t="shared" si="1"/>
        <v>0</v>
      </c>
      <c r="J60" s="47">
        <f t="shared" ca="1" si="2"/>
        <v>0</v>
      </c>
      <c r="K60" s="47">
        <f t="shared" ca="1" si="3"/>
        <v>0</v>
      </c>
      <c r="L60" s="47">
        <f t="shared" si="4"/>
        <v>0</v>
      </c>
      <c r="M60" s="47">
        <f t="shared" ca="1" si="0"/>
        <v>0</v>
      </c>
      <c r="N60" s="63">
        <f t="shared" si="5"/>
        <v>0</v>
      </c>
      <c r="O60" s="117" t="s">
        <v>113</v>
      </c>
      <c r="P60" s="132">
        <v>25.6</v>
      </c>
      <c r="Q60" t="s">
        <v>116</v>
      </c>
      <c r="U60" s="93"/>
    </row>
    <row r="61" spans="1:21">
      <c r="A61" s="42"/>
      <c r="B61" s="43"/>
      <c r="C61" s="44"/>
      <c r="D61" s="44"/>
      <c r="E61" s="44"/>
      <c r="F61" s="44"/>
      <c r="G61" s="44"/>
      <c r="H61" s="45"/>
      <c r="I61" s="46">
        <f t="shared" si="1"/>
        <v>0</v>
      </c>
      <c r="J61" s="47">
        <f t="shared" ca="1" si="2"/>
        <v>0</v>
      </c>
      <c r="K61" s="47">
        <f t="shared" ca="1" si="3"/>
        <v>0</v>
      </c>
      <c r="L61" s="47">
        <f t="shared" si="4"/>
        <v>0</v>
      </c>
      <c r="M61" s="47">
        <f t="shared" ca="1" si="0"/>
        <v>0</v>
      </c>
      <c r="N61" s="63">
        <f t="shared" si="5"/>
        <v>0</v>
      </c>
      <c r="O61" s="117" t="s">
        <v>114</v>
      </c>
      <c r="P61" s="118">
        <v>25.1</v>
      </c>
      <c r="Q61" t="s">
        <v>117</v>
      </c>
      <c r="U61" s="93"/>
    </row>
    <row r="62" spans="1:21">
      <c r="A62" s="42"/>
      <c r="B62" s="43"/>
      <c r="C62" s="44"/>
      <c r="D62" s="44"/>
      <c r="E62" s="44"/>
      <c r="F62" s="44"/>
      <c r="G62" s="44"/>
      <c r="H62" s="45"/>
      <c r="I62" s="46">
        <f t="shared" si="1"/>
        <v>0</v>
      </c>
      <c r="J62" s="47">
        <f t="shared" ca="1" si="2"/>
        <v>0</v>
      </c>
      <c r="K62" s="47">
        <f t="shared" ca="1" si="3"/>
        <v>0</v>
      </c>
      <c r="L62" s="47">
        <f>IF(B62="TOTAL",0,IF(A62=0,0,SUM(C62:H62)*A62*ROUND(J62*0.08,2)))</f>
        <v>0</v>
      </c>
      <c r="M62" s="47">
        <f t="shared" ca="1" si="0"/>
        <v>0</v>
      </c>
      <c r="N62" s="63">
        <f>IF(I62=0,0,SUM(C62:H62))*A62</f>
        <v>0</v>
      </c>
      <c r="O62" s="117" t="s">
        <v>115</v>
      </c>
      <c r="P62" s="119">
        <v>24.58</v>
      </c>
      <c r="Q62" s="59" t="s">
        <v>118</v>
      </c>
      <c r="R62" s="59"/>
    </row>
    <row r="63" spans="1:21">
      <c r="A63" s="42"/>
      <c r="B63" s="43"/>
      <c r="C63" s="44"/>
      <c r="D63" s="44"/>
      <c r="E63" s="44"/>
      <c r="F63" s="44"/>
      <c r="G63" s="44"/>
      <c r="H63" s="45"/>
      <c r="I63" s="46">
        <f t="shared" si="1"/>
        <v>0</v>
      </c>
      <c r="J63" s="47">
        <f t="shared" ca="1" si="2"/>
        <v>0</v>
      </c>
      <c r="K63" s="47">
        <f t="shared" ca="1" si="3"/>
        <v>0</v>
      </c>
      <c r="L63" s="47">
        <f>IF(B63="TOTAL",0,IF(A63=0,0,SUM(C63:H63)*A63*ROUND(J63*0.08,2)))</f>
        <v>0</v>
      </c>
      <c r="M63" s="47">
        <f t="shared" ca="1" si="0"/>
        <v>0</v>
      </c>
      <c r="N63" s="63">
        <f>IF(I63=0,0,SUM(C63:H63))*A63</f>
        <v>0</v>
      </c>
      <c r="O63" s="117" t="s">
        <v>111</v>
      </c>
      <c r="P63" s="132">
        <v>25.6</v>
      </c>
      <c r="Q63" s="59" t="s">
        <v>119</v>
      </c>
      <c r="R63" s="59"/>
    </row>
    <row r="64" spans="1:21">
      <c r="A64" s="42"/>
      <c r="B64" s="43"/>
      <c r="C64" s="44"/>
      <c r="D64" s="44"/>
      <c r="E64" s="44"/>
      <c r="F64" s="44"/>
      <c r="G64" s="44"/>
      <c r="H64" s="45"/>
      <c r="I64" s="46">
        <f t="shared" si="1"/>
        <v>0</v>
      </c>
      <c r="J64" s="47">
        <f t="shared" ca="1" si="2"/>
        <v>0</v>
      </c>
      <c r="K64" s="47">
        <f t="shared" ca="1" si="3"/>
        <v>0</v>
      </c>
      <c r="L64" s="47">
        <f>IF(B64="TOTAL",0,IF(A64=0,0,SUM(C64:H64)*A64*ROUND(J64*0.08,2)))</f>
        <v>0</v>
      </c>
      <c r="M64" s="47">
        <f t="shared" ca="1" si="0"/>
        <v>0</v>
      </c>
      <c r="N64" s="63">
        <f>IF(I64=0,0,SUM(C64:H64))*A64</f>
        <v>0</v>
      </c>
      <c r="O64" s="120" t="s">
        <v>112</v>
      </c>
      <c r="P64" s="118">
        <v>25.1</v>
      </c>
      <c r="Q64" s="61" t="s">
        <v>120</v>
      </c>
      <c r="R64" s="60"/>
    </row>
    <row r="65" spans="1:18">
      <c r="A65" s="42"/>
      <c r="B65" s="43"/>
      <c r="C65" s="44"/>
      <c r="D65" s="44"/>
      <c r="E65" s="44"/>
      <c r="F65" s="44"/>
      <c r="G65" s="44"/>
      <c r="H65" s="45"/>
      <c r="I65" s="46">
        <f t="shared" si="1"/>
        <v>0</v>
      </c>
      <c r="J65" s="47">
        <f t="shared" ca="1" si="2"/>
        <v>0</v>
      </c>
      <c r="K65" s="47">
        <f t="shared" ca="1" si="3"/>
        <v>0</v>
      </c>
      <c r="L65" s="47">
        <f>IF(B65="TOTAL",0,IF(A65=0,0,SUM(C65:H65)*A65*ROUND(J65*0.08,2)))</f>
        <v>0</v>
      </c>
      <c r="M65" s="47">
        <f t="shared" ca="1" si="0"/>
        <v>0</v>
      </c>
      <c r="N65" s="63">
        <f>IF(I65=0,0,SUM(C65:H65))*A65</f>
        <v>0</v>
      </c>
      <c r="O65" s="117" t="s">
        <v>98</v>
      </c>
      <c r="P65" s="119">
        <v>24.58</v>
      </c>
      <c r="Q65" s="59" t="s">
        <v>121</v>
      </c>
      <c r="R65" s="59"/>
    </row>
    <row r="66" spans="1:18">
      <c r="A66" s="42"/>
      <c r="B66" s="43"/>
      <c r="C66" s="44"/>
      <c r="D66" s="44"/>
      <c r="E66" s="44"/>
      <c r="F66" s="44"/>
      <c r="G66" s="44"/>
      <c r="H66" s="45"/>
      <c r="I66" s="46">
        <f t="shared" si="1"/>
        <v>0</v>
      </c>
      <c r="J66" s="47">
        <f t="shared" ca="1" si="2"/>
        <v>0</v>
      </c>
      <c r="K66" s="47">
        <f t="shared" ca="1" si="3"/>
        <v>0</v>
      </c>
      <c r="L66" s="47">
        <f t="shared" si="4"/>
        <v>0</v>
      </c>
      <c r="M66" s="47">
        <f t="shared" ca="1" si="0"/>
        <v>0</v>
      </c>
      <c r="N66" s="63">
        <f t="shared" si="5"/>
        <v>0</v>
      </c>
      <c r="O66" s="61"/>
      <c r="P66" s="60"/>
      <c r="Q66" s="59"/>
      <c r="R66" s="59"/>
    </row>
    <row r="67" spans="1:18">
      <c r="A67" s="42"/>
      <c r="B67" s="43"/>
      <c r="C67" s="44"/>
      <c r="D67" s="44"/>
      <c r="E67" s="44"/>
      <c r="F67" s="44"/>
      <c r="G67" s="44"/>
      <c r="H67" s="45"/>
      <c r="I67" s="46">
        <f t="shared" si="1"/>
        <v>0</v>
      </c>
      <c r="J67" s="47">
        <f t="shared" ca="1" si="2"/>
        <v>0</v>
      </c>
      <c r="K67" s="47">
        <f t="shared" ca="1" si="3"/>
        <v>0</v>
      </c>
      <c r="L67" s="47">
        <f t="shared" si="4"/>
        <v>0</v>
      </c>
      <c r="M67" s="47">
        <f t="shared" ca="1" si="0"/>
        <v>0</v>
      </c>
      <c r="N67" s="63">
        <f t="shared" si="5"/>
        <v>0</v>
      </c>
    </row>
    <row r="68" spans="1:18">
      <c r="A68" s="42"/>
      <c r="B68" s="43"/>
      <c r="C68" s="44"/>
      <c r="D68" s="44"/>
      <c r="E68" s="44"/>
      <c r="F68" s="44"/>
      <c r="G68" s="44"/>
      <c r="H68" s="45"/>
      <c r="I68" s="46">
        <f t="shared" si="1"/>
        <v>0</v>
      </c>
      <c r="J68" s="47">
        <f t="shared" ca="1" si="2"/>
        <v>0</v>
      </c>
      <c r="K68" s="47">
        <f t="shared" ca="1" si="3"/>
        <v>0</v>
      </c>
      <c r="L68" s="47">
        <f t="shared" si="4"/>
        <v>0</v>
      </c>
      <c r="M68" s="47">
        <f t="shared" ca="1" si="0"/>
        <v>0</v>
      </c>
      <c r="N68" s="63">
        <f t="shared" si="5"/>
        <v>0</v>
      </c>
    </row>
    <row r="69" spans="1:18">
      <c r="A69" s="42"/>
      <c r="B69" s="43"/>
      <c r="C69" s="44"/>
      <c r="D69" s="44"/>
      <c r="E69" s="44"/>
      <c r="F69" s="44"/>
      <c r="G69" s="44"/>
      <c r="H69" s="45"/>
      <c r="I69" s="46">
        <f t="shared" si="1"/>
        <v>0</v>
      </c>
      <c r="J69" s="47">
        <f t="shared" ca="1" si="2"/>
        <v>0</v>
      </c>
      <c r="K69" s="47">
        <f t="shared" ca="1" si="3"/>
        <v>0</v>
      </c>
      <c r="L69" s="47">
        <f t="shared" si="4"/>
        <v>0</v>
      </c>
      <c r="M69" s="47">
        <f t="shared" ca="1" si="0"/>
        <v>0</v>
      </c>
      <c r="N69" s="63">
        <f t="shared" si="5"/>
        <v>0</v>
      </c>
    </row>
    <row r="70" spans="1:18" ht="17" thickBot="1">
      <c r="A70" s="48"/>
      <c r="B70" s="49"/>
      <c r="C70" s="50"/>
      <c r="D70" s="50"/>
      <c r="E70" s="50"/>
      <c r="F70" s="50"/>
      <c r="G70" s="50"/>
      <c r="H70" s="51"/>
      <c r="I70" s="52">
        <f t="shared" si="1"/>
        <v>0</v>
      </c>
      <c r="J70" s="53">
        <f t="shared" ca="1" si="2"/>
        <v>0</v>
      </c>
      <c r="K70" s="53">
        <f t="shared" ca="1" si="3"/>
        <v>0</v>
      </c>
      <c r="L70" s="53">
        <f t="shared" si="4"/>
        <v>0</v>
      </c>
      <c r="M70" s="53">
        <f t="shared" ca="1" si="0"/>
        <v>0</v>
      </c>
      <c r="N70" s="63">
        <f t="shared" si="5"/>
        <v>0</v>
      </c>
    </row>
    <row r="71" spans="1:18" ht="17" thickTop="1">
      <c r="A71" s="27" t="s">
        <v>20</v>
      </c>
      <c r="B71" s="28"/>
      <c r="C71" s="29" t="s">
        <v>21</v>
      </c>
      <c r="D71" s="29"/>
      <c r="E71" s="29"/>
      <c r="F71" s="29"/>
      <c r="G71" s="29"/>
      <c r="H71" s="30"/>
      <c r="I71" s="31" t="s">
        <v>22</v>
      </c>
      <c r="J71" s="32" t="s">
        <v>23</v>
      </c>
      <c r="K71" s="33" t="s">
        <v>24</v>
      </c>
      <c r="L71" s="34" t="s">
        <v>25</v>
      </c>
      <c r="M71" s="33" t="s">
        <v>26</v>
      </c>
      <c r="N71" s="63">
        <f t="shared" si="5"/>
        <v>0</v>
      </c>
    </row>
    <row r="72" spans="1:18" ht="17" thickBot="1">
      <c r="A72" s="35" t="s">
        <v>27</v>
      </c>
      <c r="B72" s="36" t="s">
        <v>28</v>
      </c>
      <c r="C72" s="37" t="s">
        <v>29</v>
      </c>
      <c r="D72" s="37" t="s">
        <v>30</v>
      </c>
      <c r="E72" s="37" t="s">
        <v>31</v>
      </c>
      <c r="F72" s="37" t="s">
        <v>32</v>
      </c>
      <c r="G72" s="37" t="s">
        <v>33</v>
      </c>
      <c r="H72" s="38" t="s">
        <v>34</v>
      </c>
      <c r="I72" s="39" t="s">
        <v>35</v>
      </c>
      <c r="J72" s="36" t="s">
        <v>36</v>
      </c>
      <c r="K72" s="36" t="s">
        <v>37</v>
      </c>
      <c r="L72" s="40" t="s">
        <v>38</v>
      </c>
      <c r="M72" s="36" t="s">
        <v>37</v>
      </c>
      <c r="N72" s="63">
        <f t="shared" si="5"/>
        <v>0</v>
      </c>
    </row>
    <row r="73" spans="1:18" ht="17" thickTop="1">
      <c r="A73" s="56"/>
      <c r="B73" s="57"/>
      <c r="C73" s="58"/>
      <c r="D73" s="58"/>
      <c r="E73" s="44"/>
      <c r="F73" s="44"/>
      <c r="G73" s="44"/>
      <c r="H73" s="45"/>
      <c r="I73" s="46">
        <f t="shared" ref="I73:I136" si="6">C73+1.5*D73+1.5*E73+2.25*F73+2*G73+3*H73</f>
        <v>0</v>
      </c>
      <c r="J73" s="47">
        <f t="shared" ref="J73:J104" ca="1" si="7">IF(I73=0,0,IF(B73="TOTAL",0,IF(A73=0,0,INDIRECT(B73))))</f>
        <v>0</v>
      </c>
      <c r="K73" s="47">
        <f t="shared" ref="K73:K104" ca="1" si="8">ROUND(IF(B73="TOTAL",0,IF(A73=0,0,INDIRECT(B73)*A73*I73)),2)</f>
        <v>0</v>
      </c>
      <c r="L73" s="47">
        <f t="shared" ref="L73:L104" si="9">IF(B73="TOTAL",0,IF(A73=0,0,SUM(C73:H73)*A73*ROUND(J73*0.08,2)))</f>
        <v>0</v>
      </c>
      <c r="M73" s="47">
        <f t="shared" ref="M73:M136" ca="1" si="10">K73+L73</f>
        <v>0</v>
      </c>
      <c r="N73" s="63">
        <f t="shared" si="5"/>
        <v>0</v>
      </c>
    </row>
    <row r="74" spans="1:18">
      <c r="A74" s="42"/>
      <c r="B74" s="43"/>
      <c r="C74" s="44"/>
      <c r="D74" s="44"/>
      <c r="E74" s="44"/>
      <c r="F74" s="44"/>
      <c r="G74" s="44"/>
      <c r="H74" s="45"/>
      <c r="I74" s="46">
        <f t="shared" si="6"/>
        <v>0</v>
      </c>
      <c r="J74" s="47">
        <f t="shared" ca="1" si="7"/>
        <v>0</v>
      </c>
      <c r="K74" s="47">
        <f t="shared" ca="1" si="8"/>
        <v>0</v>
      </c>
      <c r="L74" s="47">
        <f t="shared" si="9"/>
        <v>0</v>
      </c>
      <c r="M74" s="47">
        <f t="shared" ca="1" si="10"/>
        <v>0</v>
      </c>
      <c r="N74" s="63">
        <f t="shared" si="5"/>
        <v>0</v>
      </c>
    </row>
    <row r="75" spans="1:18">
      <c r="A75" s="42"/>
      <c r="B75" s="43"/>
      <c r="C75" s="44"/>
      <c r="D75" s="44"/>
      <c r="E75" s="44"/>
      <c r="F75" s="44"/>
      <c r="G75" s="44"/>
      <c r="H75" s="45"/>
      <c r="I75" s="46">
        <f t="shared" si="6"/>
        <v>0</v>
      </c>
      <c r="J75" s="47">
        <f t="shared" ca="1" si="7"/>
        <v>0</v>
      </c>
      <c r="K75" s="47">
        <f t="shared" ca="1" si="8"/>
        <v>0</v>
      </c>
      <c r="L75" s="47">
        <f t="shared" si="9"/>
        <v>0</v>
      </c>
      <c r="M75" s="47">
        <f t="shared" ca="1" si="10"/>
        <v>0</v>
      </c>
      <c r="N75" s="63">
        <f t="shared" si="5"/>
        <v>0</v>
      </c>
    </row>
    <row r="76" spans="1:18">
      <c r="A76" s="42"/>
      <c r="B76" s="43"/>
      <c r="C76" s="44"/>
      <c r="D76" s="44"/>
      <c r="E76" s="44"/>
      <c r="F76" s="44"/>
      <c r="G76" s="44"/>
      <c r="H76" s="45"/>
      <c r="I76" s="46">
        <f t="shared" si="6"/>
        <v>0</v>
      </c>
      <c r="J76" s="47">
        <f t="shared" ca="1" si="7"/>
        <v>0</v>
      </c>
      <c r="K76" s="47">
        <f t="shared" ca="1" si="8"/>
        <v>0</v>
      </c>
      <c r="L76" s="47">
        <f t="shared" si="9"/>
        <v>0</v>
      </c>
      <c r="M76" s="47">
        <f t="shared" ca="1" si="10"/>
        <v>0</v>
      </c>
      <c r="N76" s="63">
        <f t="shared" si="5"/>
        <v>0</v>
      </c>
    </row>
    <row r="77" spans="1:18">
      <c r="A77" s="42"/>
      <c r="B77" s="43"/>
      <c r="C77" s="44"/>
      <c r="D77" s="44"/>
      <c r="E77" s="44"/>
      <c r="F77" s="44"/>
      <c r="G77" s="44"/>
      <c r="H77" s="45"/>
      <c r="I77" s="46">
        <f t="shared" si="6"/>
        <v>0</v>
      </c>
      <c r="J77" s="47">
        <f t="shared" ca="1" si="7"/>
        <v>0</v>
      </c>
      <c r="K77" s="47">
        <f t="shared" ca="1" si="8"/>
        <v>0</v>
      </c>
      <c r="L77" s="47">
        <f t="shared" si="9"/>
        <v>0</v>
      </c>
      <c r="M77" s="47">
        <f t="shared" ca="1" si="10"/>
        <v>0</v>
      </c>
      <c r="N77" s="63">
        <f t="shared" si="5"/>
        <v>0</v>
      </c>
    </row>
    <row r="78" spans="1:18">
      <c r="A78" s="42"/>
      <c r="B78" s="43"/>
      <c r="C78" s="44"/>
      <c r="D78" s="44"/>
      <c r="E78" s="44"/>
      <c r="F78" s="44"/>
      <c r="G78" s="44"/>
      <c r="H78" s="45"/>
      <c r="I78" s="46">
        <f t="shared" si="6"/>
        <v>0</v>
      </c>
      <c r="J78" s="47">
        <f t="shared" ca="1" si="7"/>
        <v>0</v>
      </c>
      <c r="K78" s="47">
        <f t="shared" ca="1" si="8"/>
        <v>0</v>
      </c>
      <c r="L78" s="47">
        <f t="shared" si="9"/>
        <v>0</v>
      </c>
      <c r="M78" s="47">
        <f t="shared" ca="1" si="10"/>
        <v>0</v>
      </c>
      <c r="N78" s="63">
        <f t="shared" si="5"/>
        <v>0</v>
      </c>
    </row>
    <row r="79" spans="1:18">
      <c r="A79" s="42"/>
      <c r="B79" s="43"/>
      <c r="C79" s="44"/>
      <c r="D79" s="44"/>
      <c r="E79" s="44"/>
      <c r="F79" s="44"/>
      <c r="G79" s="44"/>
      <c r="H79" s="45"/>
      <c r="I79" s="46">
        <f t="shared" si="6"/>
        <v>0</v>
      </c>
      <c r="J79" s="47">
        <f t="shared" ca="1" si="7"/>
        <v>0</v>
      </c>
      <c r="K79" s="47">
        <f t="shared" ca="1" si="8"/>
        <v>0</v>
      </c>
      <c r="L79" s="47">
        <f t="shared" si="9"/>
        <v>0</v>
      </c>
      <c r="M79" s="47">
        <f t="shared" ca="1" si="10"/>
        <v>0</v>
      </c>
      <c r="N79" s="63">
        <f t="shared" si="5"/>
        <v>0</v>
      </c>
    </row>
    <row r="80" spans="1:18">
      <c r="A80" s="42"/>
      <c r="B80" s="43"/>
      <c r="C80" s="44"/>
      <c r="D80" s="44"/>
      <c r="E80" s="44"/>
      <c r="F80" s="44"/>
      <c r="G80" s="44"/>
      <c r="H80" s="45"/>
      <c r="I80" s="46">
        <f t="shared" si="6"/>
        <v>0</v>
      </c>
      <c r="J80" s="47">
        <f t="shared" ca="1" si="7"/>
        <v>0</v>
      </c>
      <c r="K80" s="47">
        <f t="shared" ca="1" si="8"/>
        <v>0</v>
      </c>
      <c r="L80" s="47">
        <f t="shared" si="9"/>
        <v>0</v>
      </c>
      <c r="M80" s="47">
        <f t="shared" ca="1" si="10"/>
        <v>0</v>
      </c>
      <c r="N80" s="63">
        <f t="shared" si="5"/>
        <v>0</v>
      </c>
    </row>
    <row r="81" spans="1:14">
      <c r="A81" s="42"/>
      <c r="B81" s="43"/>
      <c r="C81" s="44"/>
      <c r="D81" s="44"/>
      <c r="E81" s="44"/>
      <c r="F81" s="44"/>
      <c r="G81" s="44"/>
      <c r="H81" s="45"/>
      <c r="I81" s="46">
        <f t="shared" si="6"/>
        <v>0</v>
      </c>
      <c r="J81" s="47">
        <f t="shared" ca="1" si="7"/>
        <v>0</v>
      </c>
      <c r="K81" s="47">
        <f t="shared" ca="1" si="8"/>
        <v>0</v>
      </c>
      <c r="L81" s="47">
        <f t="shared" si="9"/>
        <v>0</v>
      </c>
      <c r="M81" s="47">
        <f t="shared" ca="1" si="10"/>
        <v>0</v>
      </c>
      <c r="N81" s="63">
        <f t="shared" si="5"/>
        <v>0</v>
      </c>
    </row>
    <row r="82" spans="1:14">
      <c r="A82" s="42"/>
      <c r="B82" s="43"/>
      <c r="C82" s="44"/>
      <c r="D82" s="44"/>
      <c r="E82" s="44"/>
      <c r="F82" s="44"/>
      <c r="G82" s="44"/>
      <c r="H82" s="45"/>
      <c r="I82" s="46">
        <f t="shared" si="6"/>
        <v>0</v>
      </c>
      <c r="J82" s="47">
        <f t="shared" ca="1" si="7"/>
        <v>0</v>
      </c>
      <c r="K82" s="47">
        <f t="shared" ca="1" si="8"/>
        <v>0</v>
      </c>
      <c r="L82" s="47">
        <f t="shared" si="9"/>
        <v>0</v>
      </c>
      <c r="M82" s="47">
        <f t="shared" ca="1" si="10"/>
        <v>0</v>
      </c>
      <c r="N82" s="63">
        <f t="shared" si="5"/>
        <v>0</v>
      </c>
    </row>
    <row r="83" spans="1:14">
      <c r="A83" s="42"/>
      <c r="B83" s="43"/>
      <c r="C83" s="44"/>
      <c r="D83" s="44"/>
      <c r="E83" s="44"/>
      <c r="F83" s="44"/>
      <c r="G83" s="44"/>
      <c r="H83" s="45"/>
      <c r="I83" s="46">
        <f t="shared" si="6"/>
        <v>0</v>
      </c>
      <c r="J83" s="47">
        <f t="shared" ca="1" si="7"/>
        <v>0</v>
      </c>
      <c r="K83" s="47">
        <f t="shared" ca="1" si="8"/>
        <v>0</v>
      </c>
      <c r="L83" s="47">
        <f t="shared" si="9"/>
        <v>0</v>
      </c>
      <c r="M83" s="47">
        <f t="shared" ca="1" si="10"/>
        <v>0</v>
      </c>
      <c r="N83" s="63">
        <f t="shared" si="5"/>
        <v>0</v>
      </c>
    </row>
    <row r="84" spans="1:14">
      <c r="A84" s="42"/>
      <c r="B84" s="43"/>
      <c r="C84" s="44"/>
      <c r="D84" s="44"/>
      <c r="E84" s="44"/>
      <c r="F84" s="44"/>
      <c r="G84" s="44"/>
      <c r="H84" s="45"/>
      <c r="I84" s="46">
        <f t="shared" si="6"/>
        <v>0</v>
      </c>
      <c r="J84" s="47">
        <f t="shared" ca="1" si="7"/>
        <v>0</v>
      </c>
      <c r="K84" s="47">
        <f t="shared" ca="1" si="8"/>
        <v>0</v>
      </c>
      <c r="L84" s="47">
        <f t="shared" si="9"/>
        <v>0</v>
      </c>
      <c r="M84" s="47">
        <f t="shared" ca="1" si="10"/>
        <v>0</v>
      </c>
      <c r="N84" s="63">
        <f t="shared" si="5"/>
        <v>0</v>
      </c>
    </row>
    <row r="85" spans="1:14">
      <c r="A85" s="42"/>
      <c r="B85" s="43"/>
      <c r="C85" s="44"/>
      <c r="D85" s="44"/>
      <c r="E85" s="44"/>
      <c r="F85" s="44"/>
      <c r="G85" s="44"/>
      <c r="H85" s="45"/>
      <c r="I85" s="46">
        <f t="shared" si="6"/>
        <v>0</v>
      </c>
      <c r="J85" s="47">
        <f t="shared" ca="1" si="7"/>
        <v>0</v>
      </c>
      <c r="K85" s="47">
        <f t="shared" ca="1" si="8"/>
        <v>0</v>
      </c>
      <c r="L85" s="47">
        <f t="shared" si="9"/>
        <v>0</v>
      </c>
      <c r="M85" s="47">
        <f t="shared" ca="1" si="10"/>
        <v>0</v>
      </c>
      <c r="N85" s="63">
        <f t="shared" si="5"/>
        <v>0</v>
      </c>
    </row>
    <row r="86" spans="1:14">
      <c r="A86" s="42"/>
      <c r="B86" s="43"/>
      <c r="C86" s="44"/>
      <c r="D86" s="44"/>
      <c r="E86" s="44"/>
      <c r="F86" s="44"/>
      <c r="G86" s="44"/>
      <c r="H86" s="45"/>
      <c r="I86" s="46">
        <f t="shared" si="6"/>
        <v>0</v>
      </c>
      <c r="J86" s="47">
        <f t="shared" ca="1" si="7"/>
        <v>0</v>
      </c>
      <c r="K86" s="47">
        <f t="shared" ca="1" si="8"/>
        <v>0</v>
      </c>
      <c r="L86" s="47">
        <f t="shared" si="9"/>
        <v>0</v>
      </c>
      <c r="M86" s="47">
        <f t="shared" ca="1" si="10"/>
        <v>0</v>
      </c>
      <c r="N86" s="63">
        <f t="shared" si="5"/>
        <v>0</v>
      </c>
    </row>
    <row r="87" spans="1:14">
      <c r="A87" s="42"/>
      <c r="B87" s="43"/>
      <c r="C87" s="44"/>
      <c r="D87" s="44"/>
      <c r="E87" s="44"/>
      <c r="F87" s="44"/>
      <c r="G87" s="44"/>
      <c r="H87" s="45"/>
      <c r="I87" s="46">
        <f t="shared" si="6"/>
        <v>0</v>
      </c>
      <c r="J87" s="47">
        <f t="shared" ca="1" si="7"/>
        <v>0</v>
      </c>
      <c r="K87" s="47">
        <f t="shared" ca="1" si="8"/>
        <v>0</v>
      </c>
      <c r="L87" s="47">
        <f t="shared" si="9"/>
        <v>0</v>
      </c>
      <c r="M87" s="47">
        <f t="shared" ca="1" si="10"/>
        <v>0</v>
      </c>
      <c r="N87" s="63">
        <f t="shared" si="5"/>
        <v>0</v>
      </c>
    </row>
    <row r="88" spans="1:14">
      <c r="A88" s="42"/>
      <c r="B88" s="43"/>
      <c r="C88" s="44"/>
      <c r="D88" s="44"/>
      <c r="E88" s="44"/>
      <c r="F88" s="44"/>
      <c r="G88" s="44"/>
      <c r="H88" s="45"/>
      <c r="I88" s="46">
        <f t="shared" si="6"/>
        <v>0</v>
      </c>
      <c r="J88" s="47">
        <f t="shared" ca="1" si="7"/>
        <v>0</v>
      </c>
      <c r="K88" s="47">
        <f t="shared" ca="1" si="8"/>
        <v>0</v>
      </c>
      <c r="L88" s="47">
        <f t="shared" si="9"/>
        <v>0</v>
      </c>
      <c r="M88" s="47">
        <f t="shared" ca="1" si="10"/>
        <v>0</v>
      </c>
      <c r="N88" s="63">
        <f t="shared" ref="N88:N151" si="11">IF(I88=0,0,SUM(C88:H88))*A88</f>
        <v>0</v>
      </c>
    </row>
    <row r="89" spans="1:14">
      <c r="A89" s="42"/>
      <c r="B89" s="43"/>
      <c r="C89" s="44"/>
      <c r="D89" s="44"/>
      <c r="E89" s="44"/>
      <c r="F89" s="44"/>
      <c r="G89" s="44"/>
      <c r="H89" s="45"/>
      <c r="I89" s="46">
        <f t="shared" si="6"/>
        <v>0</v>
      </c>
      <c r="J89" s="47">
        <f t="shared" ca="1" si="7"/>
        <v>0</v>
      </c>
      <c r="K89" s="47">
        <f t="shared" ca="1" si="8"/>
        <v>0</v>
      </c>
      <c r="L89" s="47">
        <f t="shared" si="9"/>
        <v>0</v>
      </c>
      <c r="M89" s="47">
        <f t="shared" ca="1" si="10"/>
        <v>0</v>
      </c>
      <c r="N89" s="63">
        <f t="shared" si="11"/>
        <v>0</v>
      </c>
    </row>
    <row r="90" spans="1:14">
      <c r="A90" s="42"/>
      <c r="B90" s="43"/>
      <c r="C90" s="44"/>
      <c r="D90" s="44"/>
      <c r="E90" s="44"/>
      <c r="F90" s="44"/>
      <c r="G90" s="44"/>
      <c r="H90" s="45"/>
      <c r="I90" s="46">
        <f t="shared" si="6"/>
        <v>0</v>
      </c>
      <c r="J90" s="47">
        <f t="shared" ca="1" si="7"/>
        <v>0</v>
      </c>
      <c r="K90" s="47">
        <f t="shared" ca="1" si="8"/>
        <v>0</v>
      </c>
      <c r="L90" s="47">
        <f t="shared" si="9"/>
        <v>0</v>
      </c>
      <c r="M90" s="47">
        <f t="shared" ca="1" si="10"/>
        <v>0</v>
      </c>
      <c r="N90" s="63">
        <f t="shared" si="11"/>
        <v>0</v>
      </c>
    </row>
    <row r="91" spans="1:14">
      <c r="A91" s="42"/>
      <c r="B91" s="43"/>
      <c r="C91" s="44"/>
      <c r="D91" s="44"/>
      <c r="E91" s="44"/>
      <c r="F91" s="44"/>
      <c r="G91" s="44"/>
      <c r="H91" s="45"/>
      <c r="I91" s="46">
        <f t="shared" si="6"/>
        <v>0</v>
      </c>
      <c r="J91" s="47">
        <f t="shared" ca="1" si="7"/>
        <v>0</v>
      </c>
      <c r="K91" s="47">
        <f t="shared" ca="1" si="8"/>
        <v>0</v>
      </c>
      <c r="L91" s="47">
        <f t="shared" si="9"/>
        <v>0</v>
      </c>
      <c r="M91" s="47">
        <f t="shared" ca="1" si="10"/>
        <v>0</v>
      </c>
      <c r="N91" s="63">
        <f t="shared" si="11"/>
        <v>0</v>
      </c>
    </row>
    <row r="92" spans="1:14">
      <c r="A92" s="42"/>
      <c r="B92" s="43"/>
      <c r="C92" s="44"/>
      <c r="D92" s="44"/>
      <c r="E92" s="44"/>
      <c r="F92" s="44"/>
      <c r="G92" s="44"/>
      <c r="H92" s="45"/>
      <c r="I92" s="46">
        <f t="shared" si="6"/>
        <v>0</v>
      </c>
      <c r="J92" s="47">
        <f t="shared" ca="1" si="7"/>
        <v>0</v>
      </c>
      <c r="K92" s="47">
        <f t="shared" ca="1" si="8"/>
        <v>0</v>
      </c>
      <c r="L92" s="47">
        <f t="shared" si="9"/>
        <v>0</v>
      </c>
      <c r="M92" s="47">
        <f t="shared" ca="1" si="10"/>
        <v>0</v>
      </c>
      <c r="N92" s="63">
        <f t="shared" si="11"/>
        <v>0</v>
      </c>
    </row>
    <row r="93" spans="1:14">
      <c r="A93" s="42"/>
      <c r="B93" s="43"/>
      <c r="C93" s="44"/>
      <c r="D93" s="44"/>
      <c r="E93" s="44"/>
      <c r="F93" s="44"/>
      <c r="G93" s="44"/>
      <c r="H93" s="45"/>
      <c r="I93" s="46">
        <f t="shared" si="6"/>
        <v>0</v>
      </c>
      <c r="J93" s="47">
        <f t="shared" ca="1" si="7"/>
        <v>0</v>
      </c>
      <c r="K93" s="47">
        <f t="shared" ca="1" si="8"/>
        <v>0</v>
      </c>
      <c r="L93" s="47">
        <f t="shared" si="9"/>
        <v>0</v>
      </c>
      <c r="M93" s="47">
        <f t="shared" ca="1" si="10"/>
        <v>0</v>
      </c>
      <c r="N93" s="63">
        <f t="shared" si="11"/>
        <v>0</v>
      </c>
    </row>
    <row r="94" spans="1:14">
      <c r="A94" s="42"/>
      <c r="B94" s="43"/>
      <c r="C94" s="44"/>
      <c r="D94" s="44"/>
      <c r="E94" s="44"/>
      <c r="F94" s="44"/>
      <c r="G94" s="44"/>
      <c r="H94" s="45"/>
      <c r="I94" s="46">
        <f t="shared" si="6"/>
        <v>0</v>
      </c>
      <c r="J94" s="47">
        <f t="shared" ca="1" si="7"/>
        <v>0</v>
      </c>
      <c r="K94" s="47">
        <f t="shared" ca="1" si="8"/>
        <v>0</v>
      </c>
      <c r="L94" s="47">
        <f t="shared" si="9"/>
        <v>0</v>
      </c>
      <c r="M94" s="47">
        <f t="shared" ca="1" si="10"/>
        <v>0</v>
      </c>
      <c r="N94" s="63">
        <f t="shared" si="11"/>
        <v>0</v>
      </c>
    </row>
    <row r="95" spans="1:14">
      <c r="A95" s="42"/>
      <c r="B95" s="43"/>
      <c r="C95" s="44"/>
      <c r="D95" s="44"/>
      <c r="E95" s="44"/>
      <c r="F95" s="44"/>
      <c r="G95" s="44"/>
      <c r="H95" s="45"/>
      <c r="I95" s="46">
        <f t="shared" si="6"/>
        <v>0</v>
      </c>
      <c r="J95" s="47">
        <f t="shared" ca="1" si="7"/>
        <v>0</v>
      </c>
      <c r="K95" s="47">
        <f t="shared" ca="1" si="8"/>
        <v>0</v>
      </c>
      <c r="L95" s="47">
        <f t="shared" si="9"/>
        <v>0</v>
      </c>
      <c r="M95" s="47">
        <f t="shared" ca="1" si="10"/>
        <v>0</v>
      </c>
      <c r="N95" s="63">
        <f t="shared" si="11"/>
        <v>0</v>
      </c>
    </row>
    <row r="96" spans="1:14">
      <c r="A96" s="42"/>
      <c r="B96" s="43"/>
      <c r="C96" s="44"/>
      <c r="D96" s="44"/>
      <c r="E96" s="44"/>
      <c r="F96" s="44"/>
      <c r="G96" s="44"/>
      <c r="H96" s="45"/>
      <c r="I96" s="46">
        <f t="shared" si="6"/>
        <v>0</v>
      </c>
      <c r="J96" s="47">
        <f t="shared" ca="1" si="7"/>
        <v>0</v>
      </c>
      <c r="K96" s="47">
        <f t="shared" ca="1" si="8"/>
        <v>0</v>
      </c>
      <c r="L96" s="47">
        <f t="shared" si="9"/>
        <v>0</v>
      </c>
      <c r="M96" s="47">
        <f t="shared" ca="1" si="10"/>
        <v>0</v>
      </c>
      <c r="N96" s="63">
        <f t="shared" si="11"/>
        <v>0</v>
      </c>
    </row>
    <row r="97" spans="1:14">
      <c r="A97" s="42"/>
      <c r="B97" s="43"/>
      <c r="C97" s="44"/>
      <c r="D97" s="44"/>
      <c r="E97" s="44"/>
      <c r="F97" s="44"/>
      <c r="G97" s="44"/>
      <c r="H97" s="45"/>
      <c r="I97" s="46">
        <f t="shared" si="6"/>
        <v>0</v>
      </c>
      <c r="J97" s="47">
        <f t="shared" ca="1" si="7"/>
        <v>0</v>
      </c>
      <c r="K97" s="47">
        <f t="shared" ca="1" si="8"/>
        <v>0</v>
      </c>
      <c r="L97" s="47">
        <f t="shared" si="9"/>
        <v>0</v>
      </c>
      <c r="M97" s="47">
        <f t="shared" ca="1" si="10"/>
        <v>0</v>
      </c>
      <c r="N97" s="63">
        <f t="shared" si="11"/>
        <v>0</v>
      </c>
    </row>
    <row r="98" spans="1:14">
      <c r="A98" s="42"/>
      <c r="B98" s="43"/>
      <c r="C98" s="44"/>
      <c r="D98" s="44"/>
      <c r="E98" s="44"/>
      <c r="F98" s="44"/>
      <c r="G98" s="44"/>
      <c r="H98" s="45"/>
      <c r="I98" s="46">
        <f t="shared" si="6"/>
        <v>0</v>
      </c>
      <c r="J98" s="47">
        <f t="shared" ca="1" si="7"/>
        <v>0</v>
      </c>
      <c r="K98" s="47">
        <f t="shared" ca="1" si="8"/>
        <v>0</v>
      </c>
      <c r="L98" s="47">
        <f t="shared" si="9"/>
        <v>0</v>
      </c>
      <c r="M98" s="47">
        <f t="shared" ca="1" si="10"/>
        <v>0</v>
      </c>
      <c r="N98" s="63">
        <f t="shared" si="11"/>
        <v>0</v>
      </c>
    </row>
    <row r="99" spans="1:14">
      <c r="A99" s="42"/>
      <c r="B99" s="43"/>
      <c r="C99" s="44"/>
      <c r="D99" s="44"/>
      <c r="E99" s="44"/>
      <c r="F99" s="44"/>
      <c r="G99" s="44"/>
      <c r="H99" s="45"/>
      <c r="I99" s="46">
        <f t="shared" si="6"/>
        <v>0</v>
      </c>
      <c r="J99" s="47">
        <f t="shared" ca="1" si="7"/>
        <v>0</v>
      </c>
      <c r="K99" s="47">
        <f t="shared" ca="1" si="8"/>
        <v>0</v>
      </c>
      <c r="L99" s="47">
        <f t="shared" si="9"/>
        <v>0</v>
      </c>
      <c r="M99" s="47">
        <f t="shared" ca="1" si="10"/>
        <v>0</v>
      </c>
      <c r="N99" s="63">
        <f t="shared" si="11"/>
        <v>0</v>
      </c>
    </row>
    <row r="100" spans="1:14">
      <c r="A100" s="42"/>
      <c r="B100" s="43"/>
      <c r="C100" s="44"/>
      <c r="D100" s="44"/>
      <c r="E100" s="44"/>
      <c r="F100" s="44"/>
      <c r="G100" s="44"/>
      <c r="H100" s="45"/>
      <c r="I100" s="46">
        <f t="shared" si="6"/>
        <v>0</v>
      </c>
      <c r="J100" s="47">
        <f t="shared" ca="1" si="7"/>
        <v>0</v>
      </c>
      <c r="K100" s="47">
        <f t="shared" ca="1" si="8"/>
        <v>0</v>
      </c>
      <c r="L100" s="47">
        <f t="shared" si="9"/>
        <v>0</v>
      </c>
      <c r="M100" s="47">
        <f t="shared" ca="1" si="10"/>
        <v>0</v>
      </c>
      <c r="N100" s="63">
        <f t="shared" si="11"/>
        <v>0</v>
      </c>
    </row>
    <row r="101" spans="1:14">
      <c r="A101" s="42"/>
      <c r="B101" s="43"/>
      <c r="C101" s="44"/>
      <c r="D101" s="44"/>
      <c r="E101" s="44"/>
      <c r="F101" s="44"/>
      <c r="G101" s="44"/>
      <c r="H101" s="45"/>
      <c r="I101" s="46">
        <f t="shared" si="6"/>
        <v>0</v>
      </c>
      <c r="J101" s="47">
        <f t="shared" ca="1" si="7"/>
        <v>0</v>
      </c>
      <c r="K101" s="47">
        <f t="shared" ca="1" si="8"/>
        <v>0</v>
      </c>
      <c r="L101" s="47">
        <f t="shared" si="9"/>
        <v>0</v>
      </c>
      <c r="M101" s="47">
        <f t="shared" ca="1" si="10"/>
        <v>0</v>
      </c>
      <c r="N101" s="63">
        <f t="shared" si="11"/>
        <v>0</v>
      </c>
    </row>
    <row r="102" spans="1:14">
      <c r="A102" s="42"/>
      <c r="B102" s="43"/>
      <c r="C102" s="44"/>
      <c r="D102" s="44"/>
      <c r="E102" s="44"/>
      <c r="F102" s="44"/>
      <c r="G102" s="44"/>
      <c r="H102" s="45"/>
      <c r="I102" s="46">
        <f t="shared" si="6"/>
        <v>0</v>
      </c>
      <c r="J102" s="47">
        <f t="shared" ca="1" si="7"/>
        <v>0</v>
      </c>
      <c r="K102" s="47">
        <f t="shared" ca="1" si="8"/>
        <v>0</v>
      </c>
      <c r="L102" s="47">
        <f t="shared" si="9"/>
        <v>0</v>
      </c>
      <c r="M102" s="47">
        <f t="shared" ca="1" si="10"/>
        <v>0</v>
      </c>
      <c r="N102" s="63">
        <f t="shared" si="11"/>
        <v>0</v>
      </c>
    </row>
    <row r="103" spans="1:14">
      <c r="A103" s="42"/>
      <c r="B103" s="43"/>
      <c r="C103" s="44"/>
      <c r="D103" s="44"/>
      <c r="E103" s="44"/>
      <c r="F103" s="44"/>
      <c r="G103" s="44"/>
      <c r="H103" s="45"/>
      <c r="I103" s="46">
        <f t="shared" si="6"/>
        <v>0</v>
      </c>
      <c r="J103" s="47">
        <f t="shared" ca="1" si="7"/>
        <v>0</v>
      </c>
      <c r="K103" s="47">
        <f t="shared" ca="1" si="8"/>
        <v>0</v>
      </c>
      <c r="L103" s="47">
        <f t="shared" si="9"/>
        <v>0</v>
      </c>
      <c r="M103" s="47">
        <f t="shared" ca="1" si="10"/>
        <v>0</v>
      </c>
      <c r="N103" s="63">
        <f t="shared" si="11"/>
        <v>0</v>
      </c>
    </row>
    <row r="104" spans="1:14">
      <c r="A104" s="42"/>
      <c r="B104" s="43"/>
      <c r="C104" s="44"/>
      <c r="D104" s="44"/>
      <c r="E104" s="44"/>
      <c r="F104" s="44"/>
      <c r="G104" s="44"/>
      <c r="H104" s="45"/>
      <c r="I104" s="46">
        <f t="shared" si="6"/>
        <v>0</v>
      </c>
      <c r="J104" s="47">
        <f t="shared" ca="1" si="7"/>
        <v>0</v>
      </c>
      <c r="K104" s="47">
        <f t="shared" ca="1" si="8"/>
        <v>0</v>
      </c>
      <c r="L104" s="47">
        <f t="shared" si="9"/>
        <v>0</v>
      </c>
      <c r="M104" s="47">
        <f t="shared" ca="1" si="10"/>
        <v>0</v>
      </c>
      <c r="N104" s="63">
        <f t="shared" si="11"/>
        <v>0</v>
      </c>
    </row>
    <row r="105" spans="1:14">
      <c r="A105" s="42"/>
      <c r="B105" s="43"/>
      <c r="C105" s="44"/>
      <c r="D105" s="44"/>
      <c r="E105" s="44"/>
      <c r="F105" s="44"/>
      <c r="G105" s="44"/>
      <c r="H105" s="45"/>
      <c r="I105" s="46">
        <f t="shared" si="6"/>
        <v>0</v>
      </c>
      <c r="J105" s="47">
        <f t="shared" ref="J105:J136" ca="1" si="12">IF(I105=0,0,IF(B105="TOTAL",0,IF(A105=0,0,INDIRECT(B105))))</f>
        <v>0</v>
      </c>
      <c r="K105" s="47">
        <f t="shared" ref="K105:K136" ca="1" si="13">ROUND(IF(B105="TOTAL",0,IF(A105=0,0,INDIRECT(B105)*A105*I105)),2)</f>
        <v>0</v>
      </c>
      <c r="L105" s="47">
        <f t="shared" ref="L105:L136" si="14">IF(B105="TOTAL",0,IF(A105=0,0,SUM(C105:H105)*A105*ROUND(J105*0.08,2)))</f>
        <v>0</v>
      </c>
      <c r="M105" s="47">
        <f t="shared" ca="1" si="10"/>
        <v>0</v>
      </c>
      <c r="N105" s="63">
        <f t="shared" si="11"/>
        <v>0</v>
      </c>
    </row>
    <row r="106" spans="1:14">
      <c r="A106" s="42"/>
      <c r="B106" s="43"/>
      <c r="C106" s="44"/>
      <c r="D106" s="44"/>
      <c r="E106" s="44"/>
      <c r="F106" s="44"/>
      <c r="G106" s="44"/>
      <c r="H106" s="45"/>
      <c r="I106" s="46">
        <f t="shared" si="6"/>
        <v>0</v>
      </c>
      <c r="J106" s="47">
        <f t="shared" ca="1" si="12"/>
        <v>0</v>
      </c>
      <c r="K106" s="47">
        <f t="shared" ca="1" si="13"/>
        <v>0</v>
      </c>
      <c r="L106" s="47">
        <f t="shared" si="14"/>
        <v>0</v>
      </c>
      <c r="M106" s="47">
        <f t="shared" ca="1" si="10"/>
        <v>0</v>
      </c>
      <c r="N106" s="63">
        <f t="shared" si="11"/>
        <v>0</v>
      </c>
    </row>
    <row r="107" spans="1:14">
      <c r="A107" s="42"/>
      <c r="B107" s="43"/>
      <c r="C107" s="44"/>
      <c r="D107" s="44"/>
      <c r="E107" s="44"/>
      <c r="F107" s="44"/>
      <c r="G107" s="44"/>
      <c r="H107" s="45"/>
      <c r="I107" s="46">
        <f t="shared" si="6"/>
        <v>0</v>
      </c>
      <c r="J107" s="47">
        <f t="shared" ca="1" si="12"/>
        <v>0</v>
      </c>
      <c r="K107" s="47">
        <f t="shared" ca="1" si="13"/>
        <v>0</v>
      </c>
      <c r="L107" s="47">
        <f t="shared" si="14"/>
        <v>0</v>
      </c>
      <c r="M107" s="47">
        <f t="shared" ca="1" si="10"/>
        <v>0</v>
      </c>
      <c r="N107" s="63">
        <f t="shared" si="11"/>
        <v>0</v>
      </c>
    </row>
    <row r="108" spans="1:14">
      <c r="A108" s="42"/>
      <c r="B108" s="43"/>
      <c r="C108" s="44"/>
      <c r="D108" s="44"/>
      <c r="E108" s="44"/>
      <c r="F108" s="44"/>
      <c r="G108" s="44"/>
      <c r="H108" s="45"/>
      <c r="I108" s="46">
        <f t="shared" si="6"/>
        <v>0</v>
      </c>
      <c r="J108" s="47">
        <f t="shared" ca="1" si="12"/>
        <v>0</v>
      </c>
      <c r="K108" s="47">
        <f t="shared" ca="1" si="13"/>
        <v>0</v>
      </c>
      <c r="L108" s="47">
        <f t="shared" si="14"/>
        <v>0</v>
      </c>
      <c r="M108" s="47">
        <f t="shared" ca="1" si="10"/>
        <v>0</v>
      </c>
      <c r="N108" s="63">
        <f t="shared" si="11"/>
        <v>0</v>
      </c>
    </row>
    <row r="109" spans="1:14">
      <c r="A109" s="42"/>
      <c r="B109" s="43"/>
      <c r="C109" s="44"/>
      <c r="D109" s="44"/>
      <c r="E109" s="44"/>
      <c r="F109" s="44"/>
      <c r="G109" s="44"/>
      <c r="H109" s="45"/>
      <c r="I109" s="46">
        <f t="shared" si="6"/>
        <v>0</v>
      </c>
      <c r="J109" s="47">
        <f t="shared" ca="1" si="12"/>
        <v>0</v>
      </c>
      <c r="K109" s="47">
        <f t="shared" ca="1" si="13"/>
        <v>0</v>
      </c>
      <c r="L109" s="47">
        <f t="shared" si="14"/>
        <v>0</v>
      </c>
      <c r="M109" s="47">
        <f t="shared" ca="1" si="10"/>
        <v>0</v>
      </c>
      <c r="N109" s="63">
        <f t="shared" si="11"/>
        <v>0</v>
      </c>
    </row>
    <row r="110" spans="1:14">
      <c r="A110" s="42"/>
      <c r="B110" s="43"/>
      <c r="C110" s="44"/>
      <c r="D110" s="44"/>
      <c r="E110" s="44"/>
      <c r="F110" s="44"/>
      <c r="G110" s="44"/>
      <c r="H110" s="45"/>
      <c r="I110" s="46">
        <f t="shared" si="6"/>
        <v>0</v>
      </c>
      <c r="J110" s="47">
        <f t="shared" ca="1" si="12"/>
        <v>0</v>
      </c>
      <c r="K110" s="47">
        <f t="shared" ca="1" si="13"/>
        <v>0</v>
      </c>
      <c r="L110" s="47">
        <f t="shared" si="14"/>
        <v>0</v>
      </c>
      <c r="M110" s="47">
        <f t="shared" ca="1" si="10"/>
        <v>0</v>
      </c>
      <c r="N110" s="63">
        <f t="shared" si="11"/>
        <v>0</v>
      </c>
    </row>
    <row r="111" spans="1:14">
      <c r="A111" s="42"/>
      <c r="B111" s="43"/>
      <c r="C111" s="44"/>
      <c r="D111" s="44"/>
      <c r="E111" s="44"/>
      <c r="F111" s="44"/>
      <c r="G111" s="44"/>
      <c r="H111" s="45"/>
      <c r="I111" s="46">
        <f t="shared" si="6"/>
        <v>0</v>
      </c>
      <c r="J111" s="47">
        <f t="shared" ca="1" si="12"/>
        <v>0</v>
      </c>
      <c r="K111" s="47">
        <f t="shared" ca="1" si="13"/>
        <v>0</v>
      </c>
      <c r="L111" s="47">
        <f t="shared" si="14"/>
        <v>0</v>
      </c>
      <c r="M111" s="47">
        <f t="shared" ca="1" si="10"/>
        <v>0</v>
      </c>
      <c r="N111" s="63">
        <f t="shared" si="11"/>
        <v>0</v>
      </c>
    </row>
    <row r="112" spans="1:14">
      <c r="A112" s="42"/>
      <c r="B112" s="43"/>
      <c r="C112" s="44"/>
      <c r="D112" s="44"/>
      <c r="E112" s="44"/>
      <c r="F112" s="44"/>
      <c r="G112" s="44"/>
      <c r="H112" s="45"/>
      <c r="I112" s="46">
        <f t="shared" si="6"/>
        <v>0</v>
      </c>
      <c r="J112" s="47">
        <f t="shared" ca="1" si="12"/>
        <v>0</v>
      </c>
      <c r="K112" s="47">
        <f t="shared" ca="1" si="13"/>
        <v>0</v>
      </c>
      <c r="L112" s="47">
        <f t="shared" si="14"/>
        <v>0</v>
      </c>
      <c r="M112" s="47">
        <f t="shared" ca="1" si="10"/>
        <v>0</v>
      </c>
      <c r="N112" s="63">
        <f t="shared" si="11"/>
        <v>0</v>
      </c>
    </row>
    <row r="113" spans="1:14">
      <c r="A113" s="42"/>
      <c r="B113" s="43"/>
      <c r="C113" s="44"/>
      <c r="D113" s="44"/>
      <c r="E113" s="44"/>
      <c r="F113" s="44"/>
      <c r="G113" s="44"/>
      <c r="H113" s="45"/>
      <c r="I113" s="46">
        <f t="shared" si="6"/>
        <v>0</v>
      </c>
      <c r="J113" s="47">
        <f t="shared" ca="1" si="12"/>
        <v>0</v>
      </c>
      <c r="K113" s="47">
        <f t="shared" ca="1" si="13"/>
        <v>0</v>
      </c>
      <c r="L113" s="47">
        <f t="shared" si="14"/>
        <v>0</v>
      </c>
      <c r="M113" s="47">
        <f t="shared" ca="1" si="10"/>
        <v>0</v>
      </c>
      <c r="N113" s="63">
        <f t="shared" si="11"/>
        <v>0</v>
      </c>
    </row>
    <row r="114" spans="1:14">
      <c r="A114" s="42"/>
      <c r="B114" s="43"/>
      <c r="C114" s="44"/>
      <c r="D114" s="44"/>
      <c r="E114" s="44"/>
      <c r="F114" s="44"/>
      <c r="G114" s="44"/>
      <c r="H114" s="45"/>
      <c r="I114" s="46">
        <f t="shared" si="6"/>
        <v>0</v>
      </c>
      <c r="J114" s="47">
        <f t="shared" ca="1" si="12"/>
        <v>0</v>
      </c>
      <c r="K114" s="47">
        <f t="shared" ca="1" si="13"/>
        <v>0</v>
      </c>
      <c r="L114" s="47">
        <f t="shared" si="14"/>
        <v>0</v>
      </c>
      <c r="M114" s="47">
        <f t="shared" ca="1" si="10"/>
        <v>0</v>
      </c>
      <c r="N114" s="63">
        <f t="shared" si="11"/>
        <v>0</v>
      </c>
    </row>
    <row r="115" spans="1:14">
      <c r="A115" s="42"/>
      <c r="B115" s="43"/>
      <c r="C115" s="44"/>
      <c r="D115" s="44"/>
      <c r="E115" s="44"/>
      <c r="F115" s="44"/>
      <c r="G115" s="44"/>
      <c r="H115" s="45"/>
      <c r="I115" s="46">
        <f t="shared" si="6"/>
        <v>0</v>
      </c>
      <c r="J115" s="47">
        <f t="shared" ca="1" si="12"/>
        <v>0</v>
      </c>
      <c r="K115" s="47">
        <f t="shared" ca="1" si="13"/>
        <v>0</v>
      </c>
      <c r="L115" s="47">
        <f t="shared" si="14"/>
        <v>0</v>
      </c>
      <c r="M115" s="47">
        <f t="shared" ca="1" si="10"/>
        <v>0</v>
      </c>
      <c r="N115" s="63">
        <f t="shared" si="11"/>
        <v>0</v>
      </c>
    </row>
    <row r="116" spans="1:14">
      <c r="A116" s="42"/>
      <c r="B116" s="43"/>
      <c r="C116" s="44"/>
      <c r="D116" s="44"/>
      <c r="E116" s="44"/>
      <c r="F116" s="44"/>
      <c r="G116" s="44"/>
      <c r="H116" s="45"/>
      <c r="I116" s="46">
        <f t="shared" si="6"/>
        <v>0</v>
      </c>
      <c r="J116" s="47">
        <f t="shared" ca="1" si="12"/>
        <v>0</v>
      </c>
      <c r="K116" s="47">
        <f t="shared" ca="1" si="13"/>
        <v>0</v>
      </c>
      <c r="L116" s="47">
        <f t="shared" si="14"/>
        <v>0</v>
      </c>
      <c r="M116" s="47">
        <f t="shared" ca="1" si="10"/>
        <v>0</v>
      </c>
      <c r="N116" s="63">
        <f t="shared" si="11"/>
        <v>0</v>
      </c>
    </row>
    <row r="117" spans="1:14">
      <c r="A117" s="42"/>
      <c r="B117" s="43"/>
      <c r="C117" s="44"/>
      <c r="D117" s="44"/>
      <c r="E117" s="44"/>
      <c r="F117" s="44"/>
      <c r="G117" s="44"/>
      <c r="H117" s="45"/>
      <c r="I117" s="46">
        <f t="shared" si="6"/>
        <v>0</v>
      </c>
      <c r="J117" s="47">
        <f t="shared" ca="1" si="12"/>
        <v>0</v>
      </c>
      <c r="K117" s="47">
        <f t="shared" ca="1" si="13"/>
        <v>0</v>
      </c>
      <c r="L117" s="47">
        <f t="shared" si="14"/>
        <v>0</v>
      </c>
      <c r="M117" s="47">
        <f t="shared" ca="1" si="10"/>
        <v>0</v>
      </c>
      <c r="N117" s="63">
        <f t="shared" si="11"/>
        <v>0</v>
      </c>
    </row>
    <row r="118" spans="1:14">
      <c r="A118" s="42"/>
      <c r="B118" s="43"/>
      <c r="C118" s="44"/>
      <c r="D118" s="44"/>
      <c r="E118" s="44"/>
      <c r="F118" s="44"/>
      <c r="G118" s="44"/>
      <c r="H118" s="45"/>
      <c r="I118" s="46">
        <f t="shared" si="6"/>
        <v>0</v>
      </c>
      <c r="J118" s="47">
        <f t="shared" ca="1" si="12"/>
        <v>0</v>
      </c>
      <c r="K118" s="47">
        <f t="shared" ca="1" si="13"/>
        <v>0</v>
      </c>
      <c r="L118" s="47">
        <f t="shared" si="14"/>
        <v>0</v>
      </c>
      <c r="M118" s="47">
        <f t="shared" ca="1" si="10"/>
        <v>0</v>
      </c>
      <c r="N118" s="63">
        <f t="shared" si="11"/>
        <v>0</v>
      </c>
    </row>
    <row r="119" spans="1:14">
      <c r="A119" s="42"/>
      <c r="B119" s="43"/>
      <c r="C119" s="44"/>
      <c r="D119" s="44"/>
      <c r="E119" s="44"/>
      <c r="F119" s="44"/>
      <c r="G119" s="44"/>
      <c r="H119" s="45"/>
      <c r="I119" s="46">
        <f t="shared" si="6"/>
        <v>0</v>
      </c>
      <c r="J119" s="47">
        <f t="shared" ca="1" si="12"/>
        <v>0</v>
      </c>
      <c r="K119" s="47">
        <f t="shared" ca="1" si="13"/>
        <v>0</v>
      </c>
      <c r="L119" s="47">
        <f t="shared" si="14"/>
        <v>0</v>
      </c>
      <c r="M119" s="47">
        <f t="shared" ca="1" si="10"/>
        <v>0</v>
      </c>
      <c r="N119" s="63">
        <f t="shared" si="11"/>
        <v>0</v>
      </c>
    </row>
    <row r="120" spans="1:14">
      <c r="A120" s="42"/>
      <c r="B120" s="43"/>
      <c r="C120" s="44"/>
      <c r="D120" s="44"/>
      <c r="E120" s="44"/>
      <c r="F120" s="44"/>
      <c r="G120" s="44"/>
      <c r="H120" s="45"/>
      <c r="I120" s="46">
        <f t="shared" si="6"/>
        <v>0</v>
      </c>
      <c r="J120" s="47">
        <f t="shared" ca="1" si="12"/>
        <v>0</v>
      </c>
      <c r="K120" s="47">
        <f t="shared" ca="1" si="13"/>
        <v>0</v>
      </c>
      <c r="L120" s="47">
        <f t="shared" si="14"/>
        <v>0</v>
      </c>
      <c r="M120" s="47">
        <f t="shared" ca="1" si="10"/>
        <v>0</v>
      </c>
      <c r="N120" s="63">
        <f t="shared" si="11"/>
        <v>0</v>
      </c>
    </row>
    <row r="121" spans="1:14">
      <c r="A121" s="42"/>
      <c r="B121" s="43"/>
      <c r="C121" s="44"/>
      <c r="D121" s="44"/>
      <c r="E121" s="44"/>
      <c r="F121" s="44"/>
      <c r="G121" s="44"/>
      <c r="H121" s="45"/>
      <c r="I121" s="46">
        <f t="shared" si="6"/>
        <v>0</v>
      </c>
      <c r="J121" s="47">
        <f t="shared" ca="1" si="12"/>
        <v>0</v>
      </c>
      <c r="K121" s="47">
        <f t="shared" ca="1" si="13"/>
        <v>0</v>
      </c>
      <c r="L121" s="47">
        <f t="shared" si="14"/>
        <v>0</v>
      </c>
      <c r="M121" s="47">
        <f t="shared" ca="1" si="10"/>
        <v>0</v>
      </c>
      <c r="N121" s="63">
        <f t="shared" si="11"/>
        <v>0</v>
      </c>
    </row>
    <row r="122" spans="1:14">
      <c r="A122" s="42"/>
      <c r="B122" s="43"/>
      <c r="C122" s="44"/>
      <c r="D122" s="44"/>
      <c r="E122" s="44"/>
      <c r="F122" s="44"/>
      <c r="G122" s="44"/>
      <c r="H122" s="45"/>
      <c r="I122" s="46">
        <f t="shared" si="6"/>
        <v>0</v>
      </c>
      <c r="J122" s="47">
        <f t="shared" ca="1" si="12"/>
        <v>0</v>
      </c>
      <c r="K122" s="47">
        <f t="shared" ca="1" si="13"/>
        <v>0</v>
      </c>
      <c r="L122" s="47">
        <f t="shared" si="14"/>
        <v>0</v>
      </c>
      <c r="M122" s="47">
        <f t="shared" ca="1" si="10"/>
        <v>0</v>
      </c>
      <c r="N122" s="63">
        <f t="shared" si="11"/>
        <v>0</v>
      </c>
    </row>
    <row r="123" spans="1:14">
      <c r="A123" s="42"/>
      <c r="B123" s="43"/>
      <c r="C123" s="44"/>
      <c r="D123" s="44"/>
      <c r="E123" s="44"/>
      <c r="F123" s="44"/>
      <c r="G123" s="44"/>
      <c r="H123" s="45"/>
      <c r="I123" s="46">
        <f t="shared" si="6"/>
        <v>0</v>
      </c>
      <c r="J123" s="47">
        <f t="shared" ca="1" si="12"/>
        <v>0</v>
      </c>
      <c r="K123" s="47">
        <f t="shared" ca="1" si="13"/>
        <v>0</v>
      </c>
      <c r="L123" s="47">
        <f t="shared" si="14"/>
        <v>0</v>
      </c>
      <c r="M123" s="47">
        <f t="shared" ca="1" si="10"/>
        <v>0</v>
      </c>
      <c r="N123" s="63">
        <f t="shared" si="11"/>
        <v>0</v>
      </c>
    </row>
    <row r="124" spans="1:14">
      <c r="A124" s="42"/>
      <c r="B124" s="43"/>
      <c r="C124" s="44"/>
      <c r="D124" s="44"/>
      <c r="E124" s="44"/>
      <c r="F124" s="44"/>
      <c r="G124" s="44"/>
      <c r="H124" s="45"/>
      <c r="I124" s="46">
        <f t="shared" si="6"/>
        <v>0</v>
      </c>
      <c r="J124" s="47">
        <f t="shared" ca="1" si="12"/>
        <v>0</v>
      </c>
      <c r="K124" s="47">
        <f t="shared" ca="1" si="13"/>
        <v>0</v>
      </c>
      <c r="L124" s="47">
        <f t="shared" si="14"/>
        <v>0</v>
      </c>
      <c r="M124" s="47">
        <f t="shared" ca="1" si="10"/>
        <v>0</v>
      </c>
      <c r="N124" s="63">
        <f t="shared" si="11"/>
        <v>0</v>
      </c>
    </row>
    <row r="125" spans="1:14">
      <c r="A125" s="42"/>
      <c r="B125" s="43"/>
      <c r="C125" s="44"/>
      <c r="D125" s="44"/>
      <c r="E125" s="44"/>
      <c r="F125" s="44"/>
      <c r="G125" s="44"/>
      <c r="H125" s="45"/>
      <c r="I125" s="46">
        <f t="shared" si="6"/>
        <v>0</v>
      </c>
      <c r="J125" s="47">
        <f t="shared" ca="1" si="12"/>
        <v>0</v>
      </c>
      <c r="K125" s="47">
        <f t="shared" ca="1" si="13"/>
        <v>0</v>
      </c>
      <c r="L125" s="47">
        <f t="shared" si="14"/>
        <v>0</v>
      </c>
      <c r="M125" s="47">
        <f t="shared" ca="1" si="10"/>
        <v>0</v>
      </c>
      <c r="N125" s="63">
        <f t="shared" si="11"/>
        <v>0</v>
      </c>
    </row>
    <row r="126" spans="1:14">
      <c r="A126" s="42"/>
      <c r="B126" s="43"/>
      <c r="C126" s="44"/>
      <c r="D126" s="44"/>
      <c r="E126" s="44"/>
      <c r="F126" s="44"/>
      <c r="G126" s="44"/>
      <c r="H126" s="45"/>
      <c r="I126" s="46">
        <f t="shared" si="6"/>
        <v>0</v>
      </c>
      <c r="J126" s="47">
        <f t="shared" ca="1" si="12"/>
        <v>0</v>
      </c>
      <c r="K126" s="47">
        <f t="shared" ca="1" si="13"/>
        <v>0</v>
      </c>
      <c r="L126" s="47">
        <f t="shared" si="14"/>
        <v>0</v>
      </c>
      <c r="M126" s="47">
        <f t="shared" ca="1" si="10"/>
        <v>0</v>
      </c>
      <c r="N126" s="63">
        <f t="shared" si="11"/>
        <v>0</v>
      </c>
    </row>
    <row r="127" spans="1:14">
      <c r="A127" s="42"/>
      <c r="B127" s="43"/>
      <c r="C127" s="44"/>
      <c r="D127" s="44"/>
      <c r="E127" s="44"/>
      <c r="F127" s="44"/>
      <c r="G127" s="44"/>
      <c r="H127" s="45"/>
      <c r="I127" s="46">
        <f t="shared" si="6"/>
        <v>0</v>
      </c>
      <c r="J127" s="47">
        <f t="shared" ca="1" si="12"/>
        <v>0</v>
      </c>
      <c r="K127" s="47">
        <f t="shared" ca="1" si="13"/>
        <v>0</v>
      </c>
      <c r="L127" s="47">
        <f t="shared" si="14"/>
        <v>0</v>
      </c>
      <c r="M127" s="47">
        <f t="shared" ca="1" si="10"/>
        <v>0</v>
      </c>
      <c r="N127" s="63">
        <f t="shared" si="11"/>
        <v>0</v>
      </c>
    </row>
    <row r="128" spans="1:14">
      <c r="A128" s="42"/>
      <c r="B128" s="43"/>
      <c r="C128" s="44"/>
      <c r="D128" s="44"/>
      <c r="E128" s="44"/>
      <c r="F128" s="44"/>
      <c r="G128" s="44"/>
      <c r="H128" s="45"/>
      <c r="I128" s="46">
        <f t="shared" si="6"/>
        <v>0</v>
      </c>
      <c r="J128" s="47">
        <f t="shared" ca="1" si="12"/>
        <v>0</v>
      </c>
      <c r="K128" s="47">
        <f t="shared" ca="1" si="13"/>
        <v>0</v>
      </c>
      <c r="L128" s="47">
        <f t="shared" si="14"/>
        <v>0</v>
      </c>
      <c r="M128" s="47">
        <f t="shared" ca="1" si="10"/>
        <v>0</v>
      </c>
      <c r="N128" s="63">
        <f t="shared" si="11"/>
        <v>0</v>
      </c>
    </row>
    <row r="129" spans="1:14">
      <c r="A129" s="42"/>
      <c r="B129" s="43"/>
      <c r="C129" s="44"/>
      <c r="D129" s="44"/>
      <c r="E129" s="44"/>
      <c r="F129" s="44"/>
      <c r="G129" s="44"/>
      <c r="H129" s="45"/>
      <c r="I129" s="46">
        <f t="shared" si="6"/>
        <v>0</v>
      </c>
      <c r="J129" s="47">
        <f t="shared" ca="1" si="12"/>
        <v>0</v>
      </c>
      <c r="K129" s="47">
        <f t="shared" ca="1" si="13"/>
        <v>0</v>
      </c>
      <c r="L129" s="47">
        <f t="shared" si="14"/>
        <v>0</v>
      </c>
      <c r="M129" s="47">
        <f t="shared" ca="1" si="10"/>
        <v>0</v>
      </c>
      <c r="N129" s="63">
        <f t="shared" si="11"/>
        <v>0</v>
      </c>
    </row>
    <row r="130" spans="1:14">
      <c r="A130" s="42"/>
      <c r="B130" s="43"/>
      <c r="C130" s="44"/>
      <c r="D130" s="44"/>
      <c r="E130" s="44"/>
      <c r="F130" s="44"/>
      <c r="G130" s="44"/>
      <c r="H130" s="45"/>
      <c r="I130" s="46">
        <f t="shared" si="6"/>
        <v>0</v>
      </c>
      <c r="J130" s="47">
        <f t="shared" ca="1" si="12"/>
        <v>0</v>
      </c>
      <c r="K130" s="47">
        <f t="shared" ca="1" si="13"/>
        <v>0</v>
      </c>
      <c r="L130" s="47">
        <f t="shared" si="14"/>
        <v>0</v>
      </c>
      <c r="M130" s="47">
        <f t="shared" ca="1" si="10"/>
        <v>0</v>
      </c>
      <c r="N130" s="63">
        <f t="shared" si="11"/>
        <v>0</v>
      </c>
    </row>
    <row r="131" spans="1:14">
      <c r="A131" s="42"/>
      <c r="B131" s="43"/>
      <c r="C131" s="44"/>
      <c r="D131" s="44"/>
      <c r="E131" s="44"/>
      <c r="F131" s="44"/>
      <c r="G131" s="44"/>
      <c r="H131" s="45"/>
      <c r="I131" s="46">
        <f t="shared" si="6"/>
        <v>0</v>
      </c>
      <c r="J131" s="47">
        <f t="shared" ca="1" si="12"/>
        <v>0</v>
      </c>
      <c r="K131" s="47">
        <f t="shared" ca="1" si="13"/>
        <v>0</v>
      </c>
      <c r="L131" s="47">
        <f t="shared" si="14"/>
        <v>0</v>
      </c>
      <c r="M131" s="47">
        <f t="shared" ca="1" si="10"/>
        <v>0</v>
      </c>
      <c r="N131" s="63">
        <f t="shared" si="11"/>
        <v>0</v>
      </c>
    </row>
    <row r="132" spans="1:14">
      <c r="A132" s="42"/>
      <c r="B132" s="43"/>
      <c r="C132" s="44"/>
      <c r="D132" s="44"/>
      <c r="E132" s="44"/>
      <c r="F132" s="44"/>
      <c r="G132" s="44"/>
      <c r="H132" s="45"/>
      <c r="I132" s="46">
        <f t="shared" si="6"/>
        <v>0</v>
      </c>
      <c r="J132" s="47">
        <f t="shared" ca="1" si="12"/>
        <v>0</v>
      </c>
      <c r="K132" s="47">
        <f t="shared" ca="1" si="13"/>
        <v>0</v>
      </c>
      <c r="L132" s="47">
        <f t="shared" si="14"/>
        <v>0</v>
      </c>
      <c r="M132" s="47">
        <f t="shared" ca="1" si="10"/>
        <v>0</v>
      </c>
      <c r="N132" s="63">
        <f t="shared" si="11"/>
        <v>0</v>
      </c>
    </row>
    <row r="133" spans="1:14">
      <c r="A133" s="42"/>
      <c r="B133" s="43"/>
      <c r="C133" s="44"/>
      <c r="D133" s="44"/>
      <c r="E133" s="44"/>
      <c r="F133" s="44"/>
      <c r="G133" s="44"/>
      <c r="H133" s="45"/>
      <c r="I133" s="46">
        <f t="shared" si="6"/>
        <v>0</v>
      </c>
      <c r="J133" s="47">
        <f t="shared" ca="1" si="12"/>
        <v>0</v>
      </c>
      <c r="K133" s="47">
        <f t="shared" ca="1" si="13"/>
        <v>0</v>
      </c>
      <c r="L133" s="47">
        <f t="shared" si="14"/>
        <v>0</v>
      </c>
      <c r="M133" s="47">
        <f t="shared" ca="1" si="10"/>
        <v>0</v>
      </c>
      <c r="N133" s="63">
        <f t="shared" si="11"/>
        <v>0</v>
      </c>
    </row>
    <row r="134" spans="1:14">
      <c r="A134" s="42"/>
      <c r="B134" s="43"/>
      <c r="C134" s="44"/>
      <c r="D134" s="44"/>
      <c r="E134" s="44"/>
      <c r="F134" s="44"/>
      <c r="G134" s="44"/>
      <c r="H134" s="45"/>
      <c r="I134" s="46">
        <f t="shared" si="6"/>
        <v>0</v>
      </c>
      <c r="J134" s="47">
        <f t="shared" ca="1" si="12"/>
        <v>0</v>
      </c>
      <c r="K134" s="47">
        <f t="shared" ca="1" si="13"/>
        <v>0</v>
      </c>
      <c r="L134" s="47">
        <f t="shared" si="14"/>
        <v>0</v>
      </c>
      <c r="M134" s="47">
        <f t="shared" ca="1" si="10"/>
        <v>0</v>
      </c>
      <c r="N134" s="63">
        <f t="shared" si="11"/>
        <v>0</v>
      </c>
    </row>
    <row r="135" spans="1:14">
      <c r="A135" s="42"/>
      <c r="B135" s="43"/>
      <c r="C135" s="44"/>
      <c r="D135" s="44"/>
      <c r="E135" s="44"/>
      <c r="F135" s="44"/>
      <c r="G135" s="44"/>
      <c r="H135" s="45"/>
      <c r="I135" s="46">
        <f t="shared" si="6"/>
        <v>0</v>
      </c>
      <c r="J135" s="47">
        <f t="shared" ca="1" si="12"/>
        <v>0</v>
      </c>
      <c r="K135" s="47">
        <f t="shared" ca="1" si="13"/>
        <v>0</v>
      </c>
      <c r="L135" s="47">
        <f t="shared" si="14"/>
        <v>0</v>
      </c>
      <c r="M135" s="47">
        <f t="shared" ca="1" si="10"/>
        <v>0</v>
      </c>
      <c r="N135" s="63">
        <f t="shared" si="11"/>
        <v>0</v>
      </c>
    </row>
    <row r="136" spans="1:14">
      <c r="A136" s="42"/>
      <c r="B136" s="43"/>
      <c r="C136" s="44"/>
      <c r="D136" s="44"/>
      <c r="E136" s="44"/>
      <c r="F136" s="44"/>
      <c r="G136" s="44"/>
      <c r="H136" s="45"/>
      <c r="I136" s="46">
        <f t="shared" si="6"/>
        <v>0</v>
      </c>
      <c r="J136" s="47">
        <f t="shared" ca="1" si="12"/>
        <v>0</v>
      </c>
      <c r="K136" s="47">
        <f t="shared" ca="1" si="13"/>
        <v>0</v>
      </c>
      <c r="L136" s="47">
        <f t="shared" si="14"/>
        <v>0</v>
      </c>
      <c r="M136" s="47">
        <f t="shared" ca="1" si="10"/>
        <v>0</v>
      </c>
      <c r="N136" s="63">
        <f t="shared" si="11"/>
        <v>0</v>
      </c>
    </row>
    <row r="137" spans="1:14">
      <c r="A137" s="42"/>
      <c r="B137" s="43"/>
      <c r="C137" s="44"/>
      <c r="D137" s="44"/>
      <c r="E137" s="44"/>
      <c r="F137" s="44"/>
      <c r="G137" s="44"/>
      <c r="H137" s="45"/>
      <c r="I137" s="46">
        <f t="shared" ref="I137:I142" si="15">C137+1.5*D137+1.5*E137+2.25*F137+2*G137+3*H137</f>
        <v>0</v>
      </c>
      <c r="J137" s="47">
        <f t="shared" ref="J137:J142" ca="1" si="16">IF(I137=0,0,IF(B137="TOTAL",0,IF(A137=0,0,INDIRECT(B137))))</f>
        <v>0</v>
      </c>
      <c r="K137" s="47">
        <f t="shared" ref="K137:K142" ca="1" si="17">ROUND(IF(B137="TOTAL",0,IF(A137=0,0,INDIRECT(B137)*A137*I137)),2)</f>
        <v>0</v>
      </c>
      <c r="L137" s="47">
        <f t="shared" ref="L137:L142" si="18">IF(B137="TOTAL",0,IF(A137=0,0,SUM(C137:H137)*A137*ROUND(J137*0.08,2)))</f>
        <v>0</v>
      </c>
      <c r="M137" s="47">
        <f t="shared" ref="M137:M142" ca="1" si="19">K137+L137</f>
        <v>0</v>
      </c>
      <c r="N137" s="63">
        <f t="shared" si="11"/>
        <v>0</v>
      </c>
    </row>
    <row r="138" spans="1:14">
      <c r="A138" s="42"/>
      <c r="B138" s="43"/>
      <c r="C138" s="44"/>
      <c r="D138" s="44"/>
      <c r="E138" s="44"/>
      <c r="F138" s="44"/>
      <c r="G138" s="44"/>
      <c r="H138" s="45"/>
      <c r="I138" s="46">
        <f t="shared" si="15"/>
        <v>0</v>
      </c>
      <c r="J138" s="47">
        <f t="shared" ca="1" si="16"/>
        <v>0</v>
      </c>
      <c r="K138" s="47">
        <f t="shared" ca="1" si="17"/>
        <v>0</v>
      </c>
      <c r="L138" s="47">
        <f t="shared" si="18"/>
        <v>0</v>
      </c>
      <c r="M138" s="47">
        <f t="shared" ca="1" si="19"/>
        <v>0</v>
      </c>
      <c r="N138" s="63">
        <f t="shared" si="11"/>
        <v>0</v>
      </c>
    </row>
    <row r="139" spans="1:14">
      <c r="A139" s="42"/>
      <c r="B139" s="43"/>
      <c r="C139" s="44"/>
      <c r="D139" s="44"/>
      <c r="E139" s="44"/>
      <c r="F139" s="44"/>
      <c r="G139" s="44"/>
      <c r="H139" s="45"/>
      <c r="I139" s="46">
        <f t="shared" si="15"/>
        <v>0</v>
      </c>
      <c r="J139" s="47">
        <f t="shared" ca="1" si="16"/>
        <v>0</v>
      </c>
      <c r="K139" s="47">
        <f t="shared" ca="1" si="17"/>
        <v>0</v>
      </c>
      <c r="L139" s="47">
        <f t="shared" si="18"/>
        <v>0</v>
      </c>
      <c r="M139" s="47">
        <f t="shared" ca="1" si="19"/>
        <v>0</v>
      </c>
      <c r="N139" s="63">
        <f t="shared" si="11"/>
        <v>0</v>
      </c>
    </row>
    <row r="140" spans="1:14">
      <c r="A140" s="42"/>
      <c r="B140" s="43"/>
      <c r="C140" s="44"/>
      <c r="D140" s="44"/>
      <c r="E140" s="44"/>
      <c r="F140" s="44"/>
      <c r="G140" s="44"/>
      <c r="H140" s="45"/>
      <c r="I140" s="46">
        <f t="shared" si="15"/>
        <v>0</v>
      </c>
      <c r="J140" s="47">
        <f t="shared" ca="1" si="16"/>
        <v>0</v>
      </c>
      <c r="K140" s="47">
        <f t="shared" ca="1" si="17"/>
        <v>0</v>
      </c>
      <c r="L140" s="47">
        <f t="shared" si="18"/>
        <v>0</v>
      </c>
      <c r="M140" s="47">
        <f t="shared" ca="1" si="19"/>
        <v>0</v>
      </c>
      <c r="N140" s="63">
        <f t="shared" si="11"/>
        <v>0</v>
      </c>
    </row>
    <row r="141" spans="1:14">
      <c r="A141" s="42"/>
      <c r="B141" s="43"/>
      <c r="C141" s="44"/>
      <c r="D141" s="44"/>
      <c r="E141" s="44"/>
      <c r="F141" s="44"/>
      <c r="G141" s="44"/>
      <c r="H141" s="45"/>
      <c r="I141" s="46">
        <f t="shared" si="15"/>
        <v>0</v>
      </c>
      <c r="J141" s="47">
        <f t="shared" ca="1" si="16"/>
        <v>0</v>
      </c>
      <c r="K141" s="47">
        <f t="shared" ca="1" si="17"/>
        <v>0</v>
      </c>
      <c r="L141" s="47">
        <f t="shared" si="18"/>
        <v>0</v>
      </c>
      <c r="M141" s="47">
        <f t="shared" ca="1" si="19"/>
        <v>0</v>
      </c>
      <c r="N141" s="63">
        <f t="shared" si="11"/>
        <v>0</v>
      </c>
    </row>
    <row r="142" spans="1:14" ht="17" thickBot="1">
      <c r="A142" s="48"/>
      <c r="B142" s="49"/>
      <c r="C142" s="50"/>
      <c r="D142" s="50"/>
      <c r="E142" s="50"/>
      <c r="F142" s="50"/>
      <c r="G142" s="50"/>
      <c r="H142" s="51"/>
      <c r="I142" s="52">
        <f t="shared" si="15"/>
        <v>0</v>
      </c>
      <c r="J142" s="53">
        <f t="shared" ca="1" si="16"/>
        <v>0</v>
      </c>
      <c r="K142" s="53">
        <f t="shared" ca="1" si="17"/>
        <v>0</v>
      </c>
      <c r="L142" s="53">
        <f t="shared" si="18"/>
        <v>0</v>
      </c>
      <c r="M142" s="53">
        <f t="shared" ca="1" si="19"/>
        <v>0</v>
      </c>
      <c r="N142" s="63">
        <f t="shared" si="11"/>
        <v>0</v>
      </c>
    </row>
    <row r="143" spans="1:14" ht="17" thickTop="1">
      <c r="A143" s="27" t="s">
        <v>20</v>
      </c>
      <c r="B143" s="28"/>
      <c r="C143" s="29" t="s">
        <v>21</v>
      </c>
      <c r="D143" s="29"/>
      <c r="E143" s="29"/>
      <c r="F143" s="29"/>
      <c r="G143" s="29"/>
      <c r="H143" s="30"/>
      <c r="I143" s="31" t="s">
        <v>22</v>
      </c>
      <c r="J143" s="32" t="s">
        <v>23</v>
      </c>
      <c r="K143" s="33" t="s">
        <v>24</v>
      </c>
      <c r="L143" s="34" t="s">
        <v>25</v>
      </c>
      <c r="M143" s="33" t="s">
        <v>26</v>
      </c>
      <c r="N143" s="63">
        <f t="shared" si="11"/>
        <v>0</v>
      </c>
    </row>
    <row r="144" spans="1:14" ht="17" thickBot="1">
      <c r="A144" s="35" t="s">
        <v>27</v>
      </c>
      <c r="B144" s="36" t="s">
        <v>28</v>
      </c>
      <c r="C144" s="37" t="s">
        <v>29</v>
      </c>
      <c r="D144" s="37" t="s">
        <v>30</v>
      </c>
      <c r="E144" s="37" t="s">
        <v>31</v>
      </c>
      <c r="F144" s="37" t="s">
        <v>32</v>
      </c>
      <c r="G144" s="37" t="s">
        <v>33</v>
      </c>
      <c r="H144" s="38" t="s">
        <v>34</v>
      </c>
      <c r="I144" s="39" t="s">
        <v>35</v>
      </c>
      <c r="J144" s="36" t="s">
        <v>36</v>
      </c>
      <c r="K144" s="36" t="s">
        <v>37</v>
      </c>
      <c r="L144" s="40" t="s">
        <v>38</v>
      </c>
      <c r="M144" s="36" t="s">
        <v>37</v>
      </c>
      <c r="N144" s="63">
        <f t="shared" si="11"/>
        <v>0</v>
      </c>
    </row>
    <row r="145" spans="1:14" ht="17" thickTop="1">
      <c r="A145" s="42"/>
      <c r="B145" s="43"/>
      <c r="C145" s="44"/>
      <c r="D145" s="44"/>
      <c r="E145" s="44"/>
      <c r="F145" s="44"/>
      <c r="G145" s="44"/>
      <c r="H145" s="45"/>
      <c r="I145" s="46">
        <f t="shared" ref="I145:I208" si="20">C145+1.5*D145+1.5*E145+2.25*F145+2*G145+3*H145</f>
        <v>0</v>
      </c>
      <c r="J145" s="47">
        <f t="shared" ref="J145:J176" ca="1" si="21">IF(I145=0,0,IF(B145="TOTAL",0,IF(A145=0,0,INDIRECT(B145))))</f>
        <v>0</v>
      </c>
      <c r="K145" s="47">
        <f t="shared" ref="K145:K176" ca="1" si="22">ROUND(IF(B145="TOTAL",0,IF(A145=0,0,INDIRECT(B145)*A145*I145)),2)</f>
        <v>0</v>
      </c>
      <c r="L145" s="47">
        <f t="shared" ref="L145:L176" si="23">IF(B145="TOTAL",0,IF(A145=0,0,SUM(C145:H145)*A145*ROUND(J145*0.08,2)))</f>
        <v>0</v>
      </c>
      <c r="M145" s="47">
        <f t="shared" ref="M145:M208" ca="1" si="24">K145+L145</f>
        <v>0</v>
      </c>
      <c r="N145" s="63">
        <f t="shared" si="11"/>
        <v>0</v>
      </c>
    </row>
    <row r="146" spans="1:14">
      <c r="A146" s="42"/>
      <c r="B146" s="43"/>
      <c r="C146" s="44"/>
      <c r="D146" s="44"/>
      <c r="E146" s="44"/>
      <c r="F146" s="44"/>
      <c r="G146" s="44"/>
      <c r="H146" s="45"/>
      <c r="I146" s="46">
        <f t="shared" si="20"/>
        <v>0</v>
      </c>
      <c r="J146" s="47">
        <f t="shared" ca="1" si="21"/>
        <v>0</v>
      </c>
      <c r="K146" s="47">
        <f t="shared" ca="1" si="22"/>
        <v>0</v>
      </c>
      <c r="L146" s="47">
        <f t="shared" si="23"/>
        <v>0</v>
      </c>
      <c r="M146" s="47">
        <f t="shared" ca="1" si="24"/>
        <v>0</v>
      </c>
      <c r="N146" s="63">
        <f t="shared" si="11"/>
        <v>0</v>
      </c>
    </row>
    <row r="147" spans="1:14">
      <c r="A147" s="42"/>
      <c r="B147" s="43"/>
      <c r="C147" s="44"/>
      <c r="D147" s="44"/>
      <c r="E147" s="44"/>
      <c r="F147" s="44"/>
      <c r="G147" s="44"/>
      <c r="H147" s="45"/>
      <c r="I147" s="46">
        <f t="shared" si="20"/>
        <v>0</v>
      </c>
      <c r="J147" s="47">
        <f t="shared" ca="1" si="21"/>
        <v>0</v>
      </c>
      <c r="K147" s="47">
        <f t="shared" ca="1" si="22"/>
        <v>0</v>
      </c>
      <c r="L147" s="47">
        <f t="shared" si="23"/>
        <v>0</v>
      </c>
      <c r="M147" s="47">
        <f t="shared" ca="1" si="24"/>
        <v>0</v>
      </c>
      <c r="N147" s="63">
        <f t="shared" si="11"/>
        <v>0</v>
      </c>
    </row>
    <row r="148" spans="1:14">
      <c r="A148" s="42"/>
      <c r="B148" s="43"/>
      <c r="C148" s="44"/>
      <c r="D148" s="44"/>
      <c r="E148" s="44"/>
      <c r="F148" s="44"/>
      <c r="G148" s="44"/>
      <c r="H148" s="45"/>
      <c r="I148" s="46">
        <f t="shared" si="20"/>
        <v>0</v>
      </c>
      <c r="J148" s="47">
        <f t="shared" ca="1" si="21"/>
        <v>0</v>
      </c>
      <c r="K148" s="47">
        <f t="shared" ca="1" si="22"/>
        <v>0</v>
      </c>
      <c r="L148" s="47">
        <f t="shared" si="23"/>
        <v>0</v>
      </c>
      <c r="M148" s="47">
        <f t="shared" ca="1" si="24"/>
        <v>0</v>
      </c>
      <c r="N148" s="63">
        <f t="shared" si="11"/>
        <v>0</v>
      </c>
    </row>
    <row r="149" spans="1:14">
      <c r="A149" s="42"/>
      <c r="B149" s="43"/>
      <c r="C149" s="44"/>
      <c r="D149" s="44"/>
      <c r="E149" s="44"/>
      <c r="F149" s="44"/>
      <c r="G149" s="44"/>
      <c r="H149" s="45"/>
      <c r="I149" s="46">
        <f t="shared" si="20"/>
        <v>0</v>
      </c>
      <c r="J149" s="47">
        <f t="shared" ca="1" si="21"/>
        <v>0</v>
      </c>
      <c r="K149" s="47">
        <f t="shared" ca="1" si="22"/>
        <v>0</v>
      </c>
      <c r="L149" s="47">
        <f t="shared" si="23"/>
        <v>0</v>
      </c>
      <c r="M149" s="47">
        <f t="shared" ca="1" si="24"/>
        <v>0</v>
      </c>
      <c r="N149" s="63">
        <f t="shared" si="11"/>
        <v>0</v>
      </c>
    </row>
    <row r="150" spans="1:14">
      <c r="A150" s="42"/>
      <c r="B150" s="43"/>
      <c r="C150" s="44"/>
      <c r="D150" s="44"/>
      <c r="E150" s="44"/>
      <c r="F150" s="44"/>
      <c r="G150" s="44"/>
      <c r="H150" s="45"/>
      <c r="I150" s="46">
        <f t="shared" si="20"/>
        <v>0</v>
      </c>
      <c r="J150" s="47">
        <f t="shared" ca="1" si="21"/>
        <v>0</v>
      </c>
      <c r="K150" s="47">
        <f t="shared" ca="1" si="22"/>
        <v>0</v>
      </c>
      <c r="L150" s="47">
        <f t="shared" si="23"/>
        <v>0</v>
      </c>
      <c r="M150" s="47">
        <f t="shared" ca="1" si="24"/>
        <v>0</v>
      </c>
      <c r="N150" s="63">
        <f t="shared" si="11"/>
        <v>0</v>
      </c>
    </row>
    <row r="151" spans="1:14">
      <c r="A151" s="42"/>
      <c r="B151" s="43"/>
      <c r="C151" s="44"/>
      <c r="D151" s="44"/>
      <c r="E151" s="44"/>
      <c r="F151" s="44"/>
      <c r="G151" s="44"/>
      <c r="H151" s="45"/>
      <c r="I151" s="46">
        <f t="shared" si="20"/>
        <v>0</v>
      </c>
      <c r="J151" s="47">
        <f t="shared" ca="1" si="21"/>
        <v>0</v>
      </c>
      <c r="K151" s="47">
        <f t="shared" ca="1" si="22"/>
        <v>0</v>
      </c>
      <c r="L151" s="47">
        <f t="shared" si="23"/>
        <v>0</v>
      </c>
      <c r="M151" s="47">
        <f t="shared" ca="1" si="24"/>
        <v>0</v>
      </c>
      <c r="N151" s="63">
        <f t="shared" si="11"/>
        <v>0</v>
      </c>
    </row>
    <row r="152" spans="1:14">
      <c r="A152" s="42"/>
      <c r="B152" s="43"/>
      <c r="C152" s="44"/>
      <c r="D152" s="44"/>
      <c r="E152" s="44"/>
      <c r="F152" s="44"/>
      <c r="G152" s="44"/>
      <c r="H152" s="45"/>
      <c r="I152" s="46">
        <f t="shared" si="20"/>
        <v>0</v>
      </c>
      <c r="J152" s="47">
        <f t="shared" ca="1" si="21"/>
        <v>0</v>
      </c>
      <c r="K152" s="47">
        <f t="shared" ca="1" si="22"/>
        <v>0</v>
      </c>
      <c r="L152" s="47">
        <f t="shared" si="23"/>
        <v>0</v>
      </c>
      <c r="M152" s="47">
        <f t="shared" ca="1" si="24"/>
        <v>0</v>
      </c>
      <c r="N152" s="63">
        <f t="shared" ref="N152:N215" si="25">IF(I152=0,0,SUM(C152:H152))*A152</f>
        <v>0</v>
      </c>
    </row>
    <row r="153" spans="1:14">
      <c r="A153" s="42"/>
      <c r="B153" s="43"/>
      <c r="C153" s="44"/>
      <c r="D153" s="44"/>
      <c r="E153" s="44"/>
      <c r="F153" s="44"/>
      <c r="G153" s="44"/>
      <c r="H153" s="45"/>
      <c r="I153" s="46">
        <f t="shared" si="20"/>
        <v>0</v>
      </c>
      <c r="J153" s="47">
        <f t="shared" ca="1" si="21"/>
        <v>0</v>
      </c>
      <c r="K153" s="47">
        <f t="shared" ca="1" si="22"/>
        <v>0</v>
      </c>
      <c r="L153" s="47">
        <f t="shared" si="23"/>
        <v>0</v>
      </c>
      <c r="M153" s="47">
        <f t="shared" ca="1" si="24"/>
        <v>0</v>
      </c>
      <c r="N153" s="63">
        <f t="shared" si="25"/>
        <v>0</v>
      </c>
    </row>
    <row r="154" spans="1:14">
      <c r="A154" s="42"/>
      <c r="B154" s="43"/>
      <c r="C154" s="44"/>
      <c r="D154" s="44"/>
      <c r="E154" s="44"/>
      <c r="F154" s="44"/>
      <c r="G154" s="44"/>
      <c r="H154" s="45"/>
      <c r="I154" s="46">
        <f t="shared" si="20"/>
        <v>0</v>
      </c>
      <c r="J154" s="47">
        <f t="shared" ca="1" si="21"/>
        <v>0</v>
      </c>
      <c r="K154" s="47">
        <f t="shared" ca="1" si="22"/>
        <v>0</v>
      </c>
      <c r="L154" s="47">
        <f t="shared" si="23"/>
        <v>0</v>
      </c>
      <c r="M154" s="47">
        <f t="shared" ca="1" si="24"/>
        <v>0</v>
      </c>
      <c r="N154" s="63">
        <f t="shared" si="25"/>
        <v>0</v>
      </c>
    </row>
    <row r="155" spans="1:14">
      <c r="A155" s="42"/>
      <c r="B155" s="43"/>
      <c r="C155" s="44"/>
      <c r="D155" s="44"/>
      <c r="E155" s="44"/>
      <c r="F155" s="44"/>
      <c r="G155" s="44"/>
      <c r="H155" s="45"/>
      <c r="I155" s="46">
        <f t="shared" si="20"/>
        <v>0</v>
      </c>
      <c r="J155" s="47">
        <f t="shared" ca="1" si="21"/>
        <v>0</v>
      </c>
      <c r="K155" s="47">
        <f t="shared" ca="1" si="22"/>
        <v>0</v>
      </c>
      <c r="L155" s="47">
        <f t="shared" si="23"/>
        <v>0</v>
      </c>
      <c r="M155" s="47">
        <f t="shared" ca="1" si="24"/>
        <v>0</v>
      </c>
      <c r="N155" s="63">
        <f t="shared" si="25"/>
        <v>0</v>
      </c>
    </row>
    <row r="156" spans="1:14">
      <c r="A156" s="42"/>
      <c r="B156" s="43"/>
      <c r="C156" s="44"/>
      <c r="D156" s="44"/>
      <c r="E156" s="44"/>
      <c r="F156" s="44"/>
      <c r="G156" s="44"/>
      <c r="H156" s="45"/>
      <c r="I156" s="46">
        <f t="shared" si="20"/>
        <v>0</v>
      </c>
      <c r="J156" s="47">
        <f t="shared" ca="1" si="21"/>
        <v>0</v>
      </c>
      <c r="K156" s="47">
        <f t="shared" ca="1" si="22"/>
        <v>0</v>
      </c>
      <c r="L156" s="47">
        <f t="shared" si="23"/>
        <v>0</v>
      </c>
      <c r="M156" s="47">
        <f t="shared" ca="1" si="24"/>
        <v>0</v>
      </c>
      <c r="N156" s="63">
        <f t="shared" si="25"/>
        <v>0</v>
      </c>
    </row>
    <row r="157" spans="1:14">
      <c r="A157" s="42"/>
      <c r="B157" s="43"/>
      <c r="C157" s="44"/>
      <c r="D157" s="44"/>
      <c r="E157" s="44"/>
      <c r="F157" s="44"/>
      <c r="G157" s="44"/>
      <c r="H157" s="45"/>
      <c r="I157" s="46">
        <f t="shared" si="20"/>
        <v>0</v>
      </c>
      <c r="J157" s="47">
        <f t="shared" ca="1" si="21"/>
        <v>0</v>
      </c>
      <c r="K157" s="47">
        <f t="shared" ca="1" si="22"/>
        <v>0</v>
      </c>
      <c r="L157" s="47">
        <f t="shared" si="23"/>
        <v>0</v>
      </c>
      <c r="M157" s="47">
        <f t="shared" ca="1" si="24"/>
        <v>0</v>
      </c>
      <c r="N157" s="63">
        <f t="shared" si="25"/>
        <v>0</v>
      </c>
    </row>
    <row r="158" spans="1:14">
      <c r="A158" s="42"/>
      <c r="B158" s="43"/>
      <c r="C158" s="44"/>
      <c r="D158" s="44"/>
      <c r="E158" s="44"/>
      <c r="F158" s="44"/>
      <c r="G158" s="44"/>
      <c r="H158" s="45"/>
      <c r="I158" s="46">
        <f t="shared" si="20"/>
        <v>0</v>
      </c>
      <c r="J158" s="47">
        <f t="shared" ca="1" si="21"/>
        <v>0</v>
      </c>
      <c r="K158" s="47">
        <f t="shared" ca="1" si="22"/>
        <v>0</v>
      </c>
      <c r="L158" s="47">
        <f t="shared" si="23"/>
        <v>0</v>
      </c>
      <c r="M158" s="47">
        <f t="shared" ca="1" si="24"/>
        <v>0</v>
      </c>
      <c r="N158" s="63">
        <f t="shared" si="25"/>
        <v>0</v>
      </c>
    </row>
    <row r="159" spans="1:14">
      <c r="A159" s="42"/>
      <c r="B159" s="43"/>
      <c r="C159" s="44"/>
      <c r="D159" s="44"/>
      <c r="E159" s="44"/>
      <c r="F159" s="44"/>
      <c r="G159" s="44"/>
      <c r="H159" s="45"/>
      <c r="I159" s="46">
        <f t="shared" si="20"/>
        <v>0</v>
      </c>
      <c r="J159" s="47">
        <f t="shared" ca="1" si="21"/>
        <v>0</v>
      </c>
      <c r="K159" s="47">
        <f t="shared" ca="1" si="22"/>
        <v>0</v>
      </c>
      <c r="L159" s="47">
        <f t="shared" si="23"/>
        <v>0</v>
      </c>
      <c r="M159" s="47">
        <f t="shared" ca="1" si="24"/>
        <v>0</v>
      </c>
      <c r="N159" s="63">
        <f t="shared" si="25"/>
        <v>0</v>
      </c>
    </row>
    <row r="160" spans="1:14">
      <c r="A160" s="42"/>
      <c r="B160" s="43"/>
      <c r="C160" s="44"/>
      <c r="D160" s="44"/>
      <c r="E160" s="44"/>
      <c r="F160" s="44"/>
      <c r="G160" s="44"/>
      <c r="H160" s="45"/>
      <c r="I160" s="46">
        <f t="shared" si="20"/>
        <v>0</v>
      </c>
      <c r="J160" s="47">
        <f t="shared" ca="1" si="21"/>
        <v>0</v>
      </c>
      <c r="K160" s="47">
        <f t="shared" ca="1" si="22"/>
        <v>0</v>
      </c>
      <c r="L160" s="47">
        <f t="shared" si="23"/>
        <v>0</v>
      </c>
      <c r="M160" s="47">
        <f t="shared" ca="1" si="24"/>
        <v>0</v>
      </c>
      <c r="N160" s="63">
        <f t="shared" si="25"/>
        <v>0</v>
      </c>
    </row>
    <row r="161" spans="1:14">
      <c r="A161" s="42"/>
      <c r="B161" s="43"/>
      <c r="C161" s="44"/>
      <c r="D161" s="44"/>
      <c r="E161" s="44"/>
      <c r="F161" s="44"/>
      <c r="G161" s="44"/>
      <c r="H161" s="45"/>
      <c r="I161" s="46">
        <f t="shared" si="20"/>
        <v>0</v>
      </c>
      <c r="J161" s="47">
        <f t="shared" ca="1" si="21"/>
        <v>0</v>
      </c>
      <c r="K161" s="47">
        <f t="shared" ca="1" si="22"/>
        <v>0</v>
      </c>
      <c r="L161" s="47">
        <f t="shared" si="23"/>
        <v>0</v>
      </c>
      <c r="M161" s="47">
        <f t="shared" ca="1" si="24"/>
        <v>0</v>
      </c>
      <c r="N161" s="63">
        <f t="shared" si="25"/>
        <v>0</v>
      </c>
    </row>
    <row r="162" spans="1:14">
      <c r="A162" s="42"/>
      <c r="B162" s="43"/>
      <c r="C162" s="44"/>
      <c r="D162" s="44"/>
      <c r="E162" s="44"/>
      <c r="F162" s="44"/>
      <c r="G162" s="44"/>
      <c r="H162" s="45"/>
      <c r="I162" s="46">
        <f t="shared" si="20"/>
        <v>0</v>
      </c>
      <c r="J162" s="47">
        <f t="shared" ca="1" si="21"/>
        <v>0</v>
      </c>
      <c r="K162" s="47">
        <f t="shared" ca="1" si="22"/>
        <v>0</v>
      </c>
      <c r="L162" s="47">
        <f t="shared" si="23"/>
        <v>0</v>
      </c>
      <c r="M162" s="47">
        <f t="shared" ca="1" si="24"/>
        <v>0</v>
      </c>
      <c r="N162" s="63">
        <f t="shared" si="25"/>
        <v>0</v>
      </c>
    </row>
    <row r="163" spans="1:14">
      <c r="A163" s="42"/>
      <c r="B163" s="43"/>
      <c r="C163" s="44"/>
      <c r="D163" s="44"/>
      <c r="E163" s="44"/>
      <c r="F163" s="44"/>
      <c r="G163" s="44"/>
      <c r="H163" s="45"/>
      <c r="I163" s="46">
        <f t="shared" si="20"/>
        <v>0</v>
      </c>
      <c r="J163" s="47">
        <f t="shared" ca="1" si="21"/>
        <v>0</v>
      </c>
      <c r="K163" s="47">
        <f t="shared" ca="1" si="22"/>
        <v>0</v>
      </c>
      <c r="L163" s="47">
        <f t="shared" si="23"/>
        <v>0</v>
      </c>
      <c r="M163" s="47">
        <f t="shared" ca="1" si="24"/>
        <v>0</v>
      </c>
      <c r="N163" s="63">
        <f t="shared" si="25"/>
        <v>0</v>
      </c>
    </row>
    <row r="164" spans="1:14">
      <c r="A164" s="42"/>
      <c r="B164" s="43"/>
      <c r="C164" s="44"/>
      <c r="D164" s="44"/>
      <c r="E164" s="44"/>
      <c r="F164" s="44"/>
      <c r="G164" s="44"/>
      <c r="H164" s="45"/>
      <c r="I164" s="46">
        <f t="shared" si="20"/>
        <v>0</v>
      </c>
      <c r="J164" s="47">
        <f t="shared" ca="1" si="21"/>
        <v>0</v>
      </c>
      <c r="K164" s="47">
        <f t="shared" ca="1" si="22"/>
        <v>0</v>
      </c>
      <c r="L164" s="47">
        <f t="shared" si="23"/>
        <v>0</v>
      </c>
      <c r="M164" s="47">
        <f t="shared" ca="1" si="24"/>
        <v>0</v>
      </c>
      <c r="N164" s="63">
        <f t="shared" si="25"/>
        <v>0</v>
      </c>
    </row>
    <row r="165" spans="1:14">
      <c r="A165" s="42"/>
      <c r="B165" s="43"/>
      <c r="C165" s="44"/>
      <c r="D165" s="44"/>
      <c r="E165" s="44"/>
      <c r="F165" s="44"/>
      <c r="G165" s="44"/>
      <c r="H165" s="45"/>
      <c r="I165" s="46">
        <f t="shared" si="20"/>
        <v>0</v>
      </c>
      <c r="J165" s="47">
        <f t="shared" ca="1" si="21"/>
        <v>0</v>
      </c>
      <c r="K165" s="47">
        <f t="shared" ca="1" si="22"/>
        <v>0</v>
      </c>
      <c r="L165" s="47">
        <f t="shared" si="23"/>
        <v>0</v>
      </c>
      <c r="M165" s="47">
        <f t="shared" ca="1" si="24"/>
        <v>0</v>
      </c>
      <c r="N165" s="63">
        <f t="shared" si="25"/>
        <v>0</v>
      </c>
    </row>
    <row r="166" spans="1:14">
      <c r="A166" s="42"/>
      <c r="B166" s="43"/>
      <c r="C166" s="44"/>
      <c r="D166" s="44"/>
      <c r="E166" s="44"/>
      <c r="F166" s="44"/>
      <c r="G166" s="44"/>
      <c r="H166" s="45"/>
      <c r="I166" s="46">
        <f t="shared" si="20"/>
        <v>0</v>
      </c>
      <c r="J166" s="47">
        <f t="shared" ca="1" si="21"/>
        <v>0</v>
      </c>
      <c r="K166" s="47">
        <f t="shared" ca="1" si="22"/>
        <v>0</v>
      </c>
      <c r="L166" s="47">
        <f t="shared" si="23"/>
        <v>0</v>
      </c>
      <c r="M166" s="47">
        <f t="shared" ca="1" si="24"/>
        <v>0</v>
      </c>
      <c r="N166" s="63">
        <f t="shared" si="25"/>
        <v>0</v>
      </c>
    </row>
    <row r="167" spans="1:14">
      <c r="A167" s="42"/>
      <c r="B167" s="43"/>
      <c r="C167" s="44"/>
      <c r="D167" s="44"/>
      <c r="E167" s="44"/>
      <c r="F167" s="44"/>
      <c r="G167" s="44"/>
      <c r="H167" s="45"/>
      <c r="I167" s="46">
        <f t="shared" si="20"/>
        <v>0</v>
      </c>
      <c r="J167" s="47">
        <f t="shared" ca="1" si="21"/>
        <v>0</v>
      </c>
      <c r="K167" s="47">
        <f t="shared" ca="1" si="22"/>
        <v>0</v>
      </c>
      <c r="L167" s="47">
        <f t="shared" si="23"/>
        <v>0</v>
      </c>
      <c r="M167" s="47">
        <f t="shared" ca="1" si="24"/>
        <v>0</v>
      </c>
      <c r="N167" s="63">
        <f t="shared" si="25"/>
        <v>0</v>
      </c>
    </row>
    <row r="168" spans="1:14">
      <c r="A168" s="42"/>
      <c r="B168" s="43"/>
      <c r="C168" s="44"/>
      <c r="D168" s="44"/>
      <c r="E168" s="44"/>
      <c r="F168" s="44"/>
      <c r="G168" s="44"/>
      <c r="H168" s="45"/>
      <c r="I168" s="46">
        <f t="shared" si="20"/>
        <v>0</v>
      </c>
      <c r="J168" s="47">
        <f t="shared" ca="1" si="21"/>
        <v>0</v>
      </c>
      <c r="K168" s="47">
        <f t="shared" ca="1" si="22"/>
        <v>0</v>
      </c>
      <c r="L168" s="47">
        <f t="shared" si="23"/>
        <v>0</v>
      </c>
      <c r="M168" s="47">
        <f t="shared" ca="1" si="24"/>
        <v>0</v>
      </c>
      <c r="N168" s="63">
        <f t="shared" si="25"/>
        <v>0</v>
      </c>
    </row>
    <row r="169" spans="1:14">
      <c r="A169" s="42"/>
      <c r="B169" s="43"/>
      <c r="C169" s="44"/>
      <c r="D169" s="44"/>
      <c r="E169" s="44"/>
      <c r="F169" s="44"/>
      <c r="G169" s="44"/>
      <c r="H169" s="45"/>
      <c r="I169" s="46">
        <f t="shared" si="20"/>
        <v>0</v>
      </c>
      <c r="J169" s="47">
        <f t="shared" ca="1" si="21"/>
        <v>0</v>
      </c>
      <c r="K169" s="47">
        <f t="shared" ca="1" si="22"/>
        <v>0</v>
      </c>
      <c r="L169" s="47">
        <f t="shared" si="23"/>
        <v>0</v>
      </c>
      <c r="M169" s="47">
        <f t="shared" ca="1" si="24"/>
        <v>0</v>
      </c>
      <c r="N169" s="63">
        <f t="shared" si="25"/>
        <v>0</v>
      </c>
    </row>
    <row r="170" spans="1:14">
      <c r="A170" s="42"/>
      <c r="B170" s="43"/>
      <c r="C170" s="44"/>
      <c r="D170" s="44"/>
      <c r="E170" s="44"/>
      <c r="F170" s="44"/>
      <c r="G170" s="44"/>
      <c r="H170" s="45"/>
      <c r="I170" s="46">
        <f t="shared" si="20"/>
        <v>0</v>
      </c>
      <c r="J170" s="47">
        <f t="shared" ca="1" si="21"/>
        <v>0</v>
      </c>
      <c r="K170" s="47">
        <f t="shared" ca="1" si="22"/>
        <v>0</v>
      </c>
      <c r="L170" s="47">
        <f t="shared" si="23"/>
        <v>0</v>
      </c>
      <c r="M170" s="47">
        <f t="shared" ca="1" si="24"/>
        <v>0</v>
      </c>
      <c r="N170" s="63">
        <f t="shared" si="25"/>
        <v>0</v>
      </c>
    </row>
    <row r="171" spans="1:14">
      <c r="A171" s="42"/>
      <c r="B171" s="43"/>
      <c r="C171" s="44"/>
      <c r="D171" s="44"/>
      <c r="E171" s="44"/>
      <c r="F171" s="44"/>
      <c r="G171" s="44"/>
      <c r="H171" s="45"/>
      <c r="I171" s="46">
        <f t="shared" si="20"/>
        <v>0</v>
      </c>
      <c r="J171" s="47">
        <f t="shared" ca="1" si="21"/>
        <v>0</v>
      </c>
      <c r="K171" s="47">
        <f t="shared" ca="1" si="22"/>
        <v>0</v>
      </c>
      <c r="L171" s="47">
        <f t="shared" si="23"/>
        <v>0</v>
      </c>
      <c r="M171" s="47">
        <f t="shared" ca="1" si="24"/>
        <v>0</v>
      </c>
      <c r="N171" s="63">
        <f t="shared" si="25"/>
        <v>0</v>
      </c>
    </row>
    <row r="172" spans="1:14">
      <c r="A172" s="42"/>
      <c r="B172" s="43"/>
      <c r="C172" s="44"/>
      <c r="D172" s="44"/>
      <c r="E172" s="44"/>
      <c r="F172" s="44"/>
      <c r="G172" s="44"/>
      <c r="H172" s="45"/>
      <c r="I172" s="46">
        <f t="shared" si="20"/>
        <v>0</v>
      </c>
      <c r="J172" s="47">
        <f t="shared" ca="1" si="21"/>
        <v>0</v>
      </c>
      <c r="K172" s="47">
        <f t="shared" ca="1" si="22"/>
        <v>0</v>
      </c>
      <c r="L172" s="47">
        <f t="shared" si="23"/>
        <v>0</v>
      </c>
      <c r="M172" s="47">
        <f t="shared" ca="1" si="24"/>
        <v>0</v>
      </c>
      <c r="N172" s="63">
        <f t="shared" si="25"/>
        <v>0</v>
      </c>
    </row>
    <row r="173" spans="1:14">
      <c r="A173" s="42"/>
      <c r="B173" s="43"/>
      <c r="C173" s="44"/>
      <c r="D173" s="44"/>
      <c r="E173" s="44"/>
      <c r="F173" s="44"/>
      <c r="G173" s="44"/>
      <c r="H173" s="45"/>
      <c r="I173" s="46">
        <f t="shared" si="20"/>
        <v>0</v>
      </c>
      <c r="J173" s="47">
        <f t="shared" ca="1" si="21"/>
        <v>0</v>
      </c>
      <c r="K173" s="47">
        <f t="shared" ca="1" si="22"/>
        <v>0</v>
      </c>
      <c r="L173" s="47">
        <f t="shared" si="23"/>
        <v>0</v>
      </c>
      <c r="M173" s="47">
        <f t="shared" ca="1" si="24"/>
        <v>0</v>
      </c>
      <c r="N173" s="63">
        <f t="shared" si="25"/>
        <v>0</v>
      </c>
    </row>
    <row r="174" spans="1:14">
      <c r="A174" s="42"/>
      <c r="B174" s="43"/>
      <c r="C174" s="44"/>
      <c r="D174" s="44"/>
      <c r="E174" s="44"/>
      <c r="F174" s="44"/>
      <c r="G174" s="44"/>
      <c r="H174" s="45"/>
      <c r="I174" s="46">
        <f t="shared" si="20"/>
        <v>0</v>
      </c>
      <c r="J174" s="47">
        <f t="shared" ca="1" si="21"/>
        <v>0</v>
      </c>
      <c r="K174" s="47">
        <f t="shared" ca="1" si="22"/>
        <v>0</v>
      </c>
      <c r="L174" s="47">
        <f t="shared" si="23"/>
        <v>0</v>
      </c>
      <c r="M174" s="47">
        <f t="shared" ca="1" si="24"/>
        <v>0</v>
      </c>
      <c r="N174" s="63">
        <f t="shared" si="25"/>
        <v>0</v>
      </c>
    </row>
    <row r="175" spans="1:14">
      <c r="A175" s="42"/>
      <c r="B175" s="43"/>
      <c r="C175" s="44"/>
      <c r="D175" s="44"/>
      <c r="E175" s="44"/>
      <c r="F175" s="44"/>
      <c r="G175" s="44"/>
      <c r="H175" s="45"/>
      <c r="I175" s="46">
        <f t="shared" si="20"/>
        <v>0</v>
      </c>
      <c r="J175" s="47">
        <f t="shared" ca="1" si="21"/>
        <v>0</v>
      </c>
      <c r="K175" s="47">
        <f t="shared" ca="1" si="22"/>
        <v>0</v>
      </c>
      <c r="L175" s="47">
        <f t="shared" si="23"/>
        <v>0</v>
      </c>
      <c r="M175" s="47">
        <f t="shared" ca="1" si="24"/>
        <v>0</v>
      </c>
      <c r="N175" s="63">
        <f t="shared" si="25"/>
        <v>0</v>
      </c>
    </row>
    <row r="176" spans="1:14">
      <c r="A176" s="42"/>
      <c r="B176" s="43"/>
      <c r="C176" s="44"/>
      <c r="D176" s="44"/>
      <c r="E176" s="44"/>
      <c r="F176" s="44"/>
      <c r="G176" s="44"/>
      <c r="H176" s="45"/>
      <c r="I176" s="46">
        <f t="shared" si="20"/>
        <v>0</v>
      </c>
      <c r="J176" s="47">
        <f t="shared" ca="1" si="21"/>
        <v>0</v>
      </c>
      <c r="K176" s="47">
        <f t="shared" ca="1" si="22"/>
        <v>0</v>
      </c>
      <c r="L176" s="47">
        <f t="shared" si="23"/>
        <v>0</v>
      </c>
      <c r="M176" s="47">
        <f t="shared" ca="1" si="24"/>
        <v>0</v>
      </c>
      <c r="N176" s="63">
        <f t="shared" si="25"/>
        <v>0</v>
      </c>
    </row>
    <row r="177" spans="1:14">
      <c r="A177" s="42"/>
      <c r="B177" s="43"/>
      <c r="C177" s="44"/>
      <c r="D177" s="44"/>
      <c r="E177" s="44"/>
      <c r="F177" s="44"/>
      <c r="G177" s="44"/>
      <c r="H177" s="45"/>
      <c r="I177" s="46">
        <f t="shared" si="20"/>
        <v>0</v>
      </c>
      <c r="J177" s="47">
        <f t="shared" ref="J177:J208" ca="1" si="26">IF(I177=0,0,IF(B177="TOTAL",0,IF(A177=0,0,INDIRECT(B177))))</f>
        <v>0</v>
      </c>
      <c r="K177" s="47">
        <f t="shared" ref="K177:K208" ca="1" si="27">ROUND(IF(B177="TOTAL",0,IF(A177=0,0,INDIRECT(B177)*A177*I177)),2)</f>
        <v>0</v>
      </c>
      <c r="L177" s="47">
        <f t="shared" ref="L177:L208" si="28">IF(B177="TOTAL",0,IF(A177=0,0,SUM(C177:H177)*A177*ROUND(J177*0.08,2)))</f>
        <v>0</v>
      </c>
      <c r="M177" s="47">
        <f t="shared" ca="1" si="24"/>
        <v>0</v>
      </c>
      <c r="N177" s="63">
        <f t="shared" si="25"/>
        <v>0</v>
      </c>
    </row>
    <row r="178" spans="1:14">
      <c r="A178" s="42"/>
      <c r="B178" s="43"/>
      <c r="C178" s="44"/>
      <c r="D178" s="44"/>
      <c r="E178" s="44"/>
      <c r="F178" s="44"/>
      <c r="G178" s="44"/>
      <c r="H178" s="45"/>
      <c r="I178" s="46">
        <f t="shared" si="20"/>
        <v>0</v>
      </c>
      <c r="J178" s="47">
        <f t="shared" ca="1" si="26"/>
        <v>0</v>
      </c>
      <c r="K178" s="47">
        <f t="shared" ca="1" si="27"/>
        <v>0</v>
      </c>
      <c r="L178" s="47">
        <f t="shared" si="28"/>
        <v>0</v>
      </c>
      <c r="M178" s="47">
        <f t="shared" ca="1" si="24"/>
        <v>0</v>
      </c>
      <c r="N178" s="63">
        <f t="shared" si="25"/>
        <v>0</v>
      </c>
    </row>
    <row r="179" spans="1:14">
      <c r="A179" s="42"/>
      <c r="B179" s="43"/>
      <c r="C179" s="44"/>
      <c r="D179" s="44"/>
      <c r="E179" s="44"/>
      <c r="F179" s="44"/>
      <c r="G179" s="44"/>
      <c r="H179" s="45"/>
      <c r="I179" s="46">
        <f t="shared" si="20"/>
        <v>0</v>
      </c>
      <c r="J179" s="47">
        <f t="shared" ca="1" si="26"/>
        <v>0</v>
      </c>
      <c r="K179" s="47">
        <f t="shared" ca="1" si="27"/>
        <v>0</v>
      </c>
      <c r="L179" s="47">
        <f t="shared" si="28"/>
        <v>0</v>
      </c>
      <c r="M179" s="47">
        <f t="shared" ca="1" si="24"/>
        <v>0</v>
      </c>
      <c r="N179" s="63">
        <f t="shared" si="25"/>
        <v>0</v>
      </c>
    </row>
    <row r="180" spans="1:14">
      <c r="A180" s="42"/>
      <c r="B180" s="43"/>
      <c r="C180" s="44"/>
      <c r="D180" s="44"/>
      <c r="E180" s="44"/>
      <c r="F180" s="44"/>
      <c r="G180" s="44"/>
      <c r="H180" s="45"/>
      <c r="I180" s="46">
        <f t="shared" si="20"/>
        <v>0</v>
      </c>
      <c r="J180" s="47">
        <f t="shared" ca="1" si="26"/>
        <v>0</v>
      </c>
      <c r="K180" s="47">
        <f t="shared" ca="1" si="27"/>
        <v>0</v>
      </c>
      <c r="L180" s="47">
        <f t="shared" si="28"/>
        <v>0</v>
      </c>
      <c r="M180" s="47">
        <f t="shared" ca="1" si="24"/>
        <v>0</v>
      </c>
      <c r="N180" s="63">
        <f t="shared" si="25"/>
        <v>0</v>
      </c>
    </row>
    <row r="181" spans="1:14">
      <c r="A181" s="42"/>
      <c r="B181" s="43"/>
      <c r="C181" s="44"/>
      <c r="D181" s="44"/>
      <c r="E181" s="44"/>
      <c r="F181" s="44"/>
      <c r="G181" s="44"/>
      <c r="H181" s="45"/>
      <c r="I181" s="46">
        <f t="shared" si="20"/>
        <v>0</v>
      </c>
      <c r="J181" s="47">
        <f t="shared" ca="1" si="26"/>
        <v>0</v>
      </c>
      <c r="K181" s="47">
        <f t="shared" ca="1" si="27"/>
        <v>0</v>
      </c>
      <c r="L181" s="47">
        <f t="shared" si="28"/>
        <v>0</v>
      </c>
      <c r="M181" s="47">
        <f t="shared" ca="1" si="24"/>
        <v>0</v>
      </c>
      <c r="N181" s="63">
        <f t="shared" si="25"/>
        <v>0</v>
      </c>
    </row>
    <row r="182" spans="1:14">
      <c r="A182" s="42"/>
      <c r="B182" s="43"/>
      <c r="C182" s="44"/>
      <c r="D182" s="44"/>
      <c r="E182" s="44"/>
      <c r="F182" s="44"/>
      <c r="G182" s="44"/>
      <c r="H182" s="45"/>
      <c r="I182" s="46">
        <f t="shared" si="20"/>
        <v>0</v>
      </c>
      <c r="J182" s="47">
        <f t="shared" ca="1" si="26"/>
        <v>0</v>
      </c>
      <c r="K182" s="47">
        <f t="shared" ca="1" si="27"/>
        <v>0</v>
      </c>
      <c r="L182" s="47">
        <f t="shared" si="28"/>
        <v>0</v>
      </c>
      <c r="M182" s="47">
        <f t="shared" ca="1" si="24"/>
        <v>0</v>
      </c>
      <c r="N182" s="63">
        <f t="shared" si="25"/>
        <v>0</v>
      </c>
    </row>
    <row r="183" spans="1:14">
      <c r="A183" s="42"/>
      <c r="B183" s="43"/>
      <c r="C183" s="44"/>
      <c r="D183" s="44"/>
      <c r="E183" s="44"/>
      <c r="F183" s="44"/>
      <c r="G183" s="44"/>
      <c r="H183" s="45"/>
      <c r="I183" s="46">
        <f t="shared" si="20"/>
        <v>0</v>
      </c>
      <c r="J183" s="47">
        <f t="shared" ca="1" si="26"/>
        <v>0</v>
      </c>
      <c r="K183" s="47">
        <f t="shared" ca="1" si="27"/>
        <v>0</v>
      </c>
      <c r="L183" s="47">
        <f t="shared" si="28"/>
        <v>0</v>
      </c>
      <c r="M183" s="47">
        <f t="shared" ca="1" si="24"/>
        <v>0</v>
      </c>
      <c r="N183" s="63">
        <f t="shared" si="25"/>
        <v>0</v>
      </c>
    </row>
    <row r="184" spans="1:14">
      <c r="A184" s="42"/>
      <c r="B184" s="43"/>
      <c r="C184" s="44"/>
      <c r="D184" s="44"/>
      <c r="E184" s="44"/>
      <c r="F184" s="44"/>
      <c r="G184" s="44"/>
      <c r="H184" s="45"/>
      <c r="I184" s="46">
        <f t="shared" si="20"/>
        <v>0</v>
      </c>
      <c r="J184" s="47">
        <f t="shared" ca="1" si="26"/>
        <v>0</v>
      </c>
      <c r="K184" s="47">
        <f t="shared" ca="1" si="27"/>
        <v>0</v>
      </c>
      <c r="L184" s="47">
        <f t="shared" si="28"/>
        <v>0</v>
      </c>
      <c r="M184" s="47">
        <f t="shared" ca="1" si="24"/>
        <v>0</v>
      </c>
      <c r="N184" s="63">
        <f t="shared" si="25"/>
        <v>0</v>
      </c>
    </row>
    <row r="185" spans="1:14">
      <c r="A185" s="42"/>
      <c r="B185" s="43"/>
      <c r="C185" s="44"/>
      <c r="D185" s="44"/>
      <c r="E185" s="44"/>
      <c r="F185" s="44"/>
      <c r="G185" s="44"/>
      <c r="H185" s="45"/>
      <c r="I185" s="46">
        <f t="shared" si="20"/>
        <v>0</v>
      </c>
      <c r="J185" s="47">
        <f t="shared" ca="1" si="26"/>
        <v>0</v>
      </c>
      <c r="K185" s="47">
        <f t="shared" ca="1" si="27"/>
        <v>0</v>
      </c>
      <c r="L185" s="47">
        <f t="shared" si="28"/>
        <v>0</v>
      </c>
      <c r="M185" s="47">
        <f t="shared" ca="1" si="24"/>
        <v>0</v>
      </c>
      <c r="N185" s="63">
        <f t="shared" si="25"/>
        <v>0</v>
      </c>
    </row>
    <row r="186" spans="1:14">
      <c r="A186" s="42"/>
      <c r="B186" s="43"/>
      <c r="C186" s="44"/>
      <c r="D186" s="44"/>
      <c r="E186" s="44"/>
      <c r="F186" s="44"/>
      <c r="G186" s="44"/>
      <c r="H186" s="45"/>
      <c r="I186" s="46">
        <f t="shared" si="20"/>
        <v>0</v>
      </c>
      <c r="J186" s="47">
        <f t="shared" ca="1" si="26"/>
        <v>0</v>
      </c>
      <c r="K186" s="47">
        <f t="shared" ca="1" si="27"/>
        <v>0</v>
      </c>
      <c r="L186" s="47">
        <f t="shared" si="28"/>
        <v>0</v>
      </c>
      <c r="M186" s="47">
        <f t="shared" ca="1" si="24"/>
        <v>0</v>
      </c>
      <c r="N186" s="63">
        <f t="shared" si="25"/>
        <v>0</v>
      </c>
    </row>
    <row r="187" spans="1:14">
      <c r="A187" s="42"/>
      <c r="B187" s="43"/>
      <c r="C187" s="44"/>
      <c r="D187" s="44"/>
      <c r="E187" s="44"/>
      <c r="F187" s="44"/>
      <c r="G187" s="44"/>
      <c r="H187" s="45"/>
      <c r="I187" s="46">
        <f t="shared" si="20"/>
        <v>0</v>
      </c>
      <c r="J187" s="47">
        <f t="shared" ca="1" si="26"/>
        <v>0</v>
      </c>
      <c r="K187" s="47">
        <f t="shared" ca="1" si="27"/>
        <v>0</v>
      </c>
      <c r="L187" s="47">
        <f t="shared" si="28"/>
        <v>0</v>
      </c>
      <c r="M187" s="47">
        <f t="shared" ca="1" si="24"/>
        <v>0</v>
      </c>
      <c r="N187" s="63">
        <f t="shared" si="25"/>
        <v>0</v>
      </c>
    </row>
    <row r="188" spans="1:14">
      <c r="A188" s="42"/>
      <c r="B188" s="43"/>
      <c r="C188" s="44"/>
      <c r="D188" s="44"/>
      <c r="E188" s="44"/>
      <c r="F188" s="44"/>
      <c r="G188" s="44"/>
      <c r="H188" s="45"/>
      <c r="I188" s="46">
        <f t="shared" si="20"/>
        <v>0</v>
      </c>
      <c r="J188" s="47">
        <f t="shared" ca="1" si="26"/>
        <v>0</v>
      </c>
      <c r="K188" s="47">
        <f t="shared" ca="1" si="27"/>
        <v>0</v>
      </c>
      <c r="L188" s="47">
        <f t="shared" si="28"/>
        <v>0</v>
      </c>
      <c r="M188" s="47">
        <f t="shared" ca="1" si="24"/>
        <v>0</v>
      </c>
      <c r="N188" s="63">
        <f t="shared" si="25"/>
        <v>0</v>
      </c>
    </row>
    <row r="189" spans="1:14">
      <c r="A189" s="42"/>
      <c r="B189" s="43"/>
      <c r="C189" s="44"/>
      <c r="D189" s="44"/>
      <c r="E189" s="44"/>
      <c r="F189" s="44"/>
      <c r="G189" s="44"/>
      <c r="H189" s="45"/>
      <c r="I189" s="46">
        <f t="shared" si="20"/>
        <v>0</v>
      </c>
      <c r="J189" s="47">
        <f t="shared" ca="1" si="26"/>
        <v>0</v>
      </c>
      <c r="K189" s="47">
        <f t="shared" ca="1" si="27"/>
        <v>0</v>
      </c>
      <c r="L189" s="47">
        <f t="shared" si="28"/>
        <v>0</v>
      </c>
      <c r="M189" s="47">
        <f t="shared" ca="1" si="24"/>
        <v>0</v>
      </c>
      <c r="N189" s="63">
        <f t="shared" si="25"/>
        <v>0</v>
      </c>
    </row>
    <row r="190" spans="1:14">
      <c r="A190" s="42"/>
      <c r="B190" s="43"/>
      <c r="C190" s="44"/>
      <c r="D190" s="44"/>
      <c r="E190" s="44"/>
      <c r="F190" s="44"/>
      <c r="G190" s="44"/>
      <c r="H190" s="45"/>
      <c r="I190" s="46">
        <f t="shared" si="20"/>
        <v>0</v>
      </c>
      <c r="J190" s="47">
        <f t="shared" ca="1" si="26"/>
        <v>0</v>
      </c>
      <c r="K190" s="47">
        <f t="shared" ca="1" si="27"/>
        <v>0</v>
      </c>
      <c r="L190" s="47">
        <f t="shared" si="28"/>
        <v>0</v>
      </c>
      <c r="M190" s="47">
        <f t="shared" ca="1" si="24"/>
        <v>0</v>
      </c>
      <c r="N190" s="63">
        <f t="shared" si="25"/>
        <v>0</v>
      </c>
    </row>
    <row r="191" spans="1:14">
      <c r="A191" s="42"/>
      <c r="B191" s="43"/>
      <c r="C191" s="44"/>
      <c r="D191" s="44"/>
      <c r="E191" s="44"/>
      <c r="F191" s="44"/>
      <c r="G191" s="44"/>
      <c r="H191" s="45"/>
      <c r="I191" s="46">
        <f t="shared" si="20"/>
        <v>0</v>
      </c>
      <c r="J191" s="47">
        <f t="shared" ca="1" si="26"/>
        <v>0</v>
      </c>
      <c r="K191" s="47">
        <f t="shared" ca="1" si="27"/>
        <v>0</v>
      </c>
      <c r="L191" s="47">
        <f t="shared" si="28"/>
        <v>0</v>
      </c>
      <c r="M191" s="47">
        <f t="shared" ca="1" si="24"/>
        <v>0</v>
      </c>
      <c r="N191" s="63">
        <f t="shared" si="25"/>
        <v>0</v>
      </c>
    </row>
    <row r="192" spans="1:14">
      <c r="A192" s="42"/>
      <c r="B192" s="43"/>
      <c r="C192" s="44"/>
      <c r="D192" s="44"/>
      <c r="E192" s="44"/>
      <c r="F192" s="44"/>
      <c r="G192" s="44"/>
      <c r="H192" s="45"/>
      <c r="I192" s="46">
        <f t="shared" si="20"/>
        <v>0</v>
      </c>
      <c r="J192" s="47">
        <f t="shared" ca="1" si="26"/>
        <v>0</v>
      </c>
      <c r="K192" s="47">
        <f t="shared" ca="1" si="27"/>
        <v>0</v>
      </c>
      <c r="L192" s="47">
        <f t="shared" si="28"/>
        <v>0</v>
      </c>
      <c r="M192" s="47">
        <f t="shared" ca="1" si="24"/>
        <v>0</v>
      </c>
      <c r="N192" s="63">
        <f t="shared" si="25"/>
        <v>0</v>
      </c>
    </row>
    <row r="193" spans="1:14">
      <c r="A193" s="42"/>
      <c r="B193" s="43"/>
      <c r="C193" s="44"/>
      <c r="D193" s="44"/>
      <c r="E193" s="44"/>
      <c r="F193" s="44"/>
      <c r="G193" s="44"/>
      <c r="H193" s="45"/>
      <c r="I193" s="46">
        <f t="shared" si="20"/>
        <v>0</v>
      </c>
      <c r="J193" s="47">
        <f t="shared" ca="1" si="26"/>
        <v>0</v>
      </c>
      <c r="K193" s="47">
        <f t="shared" ca="1" si="27"/>
        <v>0</v>
      </c>
      <c r="L193" s="47">
        <f t="shared" si="28"/>
        <v>0</v>
      </c>
      <c r="M193" s="47">
        <f t="shared" ca="1" si="24"/>
        <v>0</v>
      </c>
      <c r="N193" s="63">
        <f t="shared" si="25"/>
        <v>0</v>
      </c>
    </row>
    <row r="194" spans="1:14">
      <c r="A194" s="42"/>
      <c r="B194" s="43"/>
      <c r="C194" s="44"/>
      <c r="D194" s="44"/>
      <c r="E194" s="44"/>
      <c r="F194" s="44"/>
      <c r="G194" s="44"/>
      <c r="H194" s="45"/>
      <c r="I194" s="46">
        <f t="shared" si="20"/>
        <v>0</v>
      </c>
      <c r="J194" s="47">
        <f t="shared" ca="1" si="26"/>
        <v>0</v>
      </c>
      <c r="K194" s="47">
        <f t="shared" ca="1" si="27"/>
        <v>0</v>
      </c>
      <c r="L194" s="47">
        <f t="shared" si="28"/>
        <v>0</v>
      </c>
      <c r="M194" s="47">
        <f t="shared" ca="1" si="24"/>
        <v>0</v>
      </c>
      <c r="N194" s="63">
        <f t="shared" si="25"/>
        <v>0</v>
      </c>
    </row>
    <row r="195" spans="1:14">
      <c r="A195" s="42"/>
      <c r="B195" s="43"/>
      <c r="C195" s="44"/>
      <c r="D195" s="44"/>
      <c r="E195" s="44"/>
      <c r="F195" s="44"/>
      <c r="G195" s="44"/>
      <c r="H195" s="45"/>
      <c r="I195" s="46">
        <f t="shared" si="20"/>
        <v>0</v>
      </c>
      <c r="J195" s="47">
        <f t="shared" ca="1" si="26"/>
        <v>0</v>
      </c>
      <c r="K195" s="47">
        <f t="shared" ca="1" si="27"/>
        <v>0</v>
      </c>
      <c r="L195" s="47">
        <f t="shared" si="28"/>
        <v>0</v>
      </c>
      <c r="M195" s="47">
        <f t="shared" ca="1" si="24"/>
        <v>0</v>
      </c>
      <c r="N195" s="63">
        <f t="shared" si="25"/>
        <v>0</v>
      </c>
    </row>
    <row r="196" spans="1:14">
      <c r="A196" s="42"/>
      <c r="B196" s="43"/>
      <c r="C196" s="44"/>
      <c r="D196" s="44"/>
      <c r="E196" s="44"/>
      <c r="F196" s="44"/>
      <c r="G196" s="44"/>
      <c r="H196" s="45"/>
      <c r="I196" s="46">
        <f t="shared" si="20"/>
        <v>0</v>
      </c>
      <c r="J196" s="47">
        <f t="shared" ca="1" si="26"/>
        <v>0</v>
      </c>
      <c r="K196" s="47">
        <f t="shared" ca="1" si="27"/>
        <v>0</v>
      </c>
      <c r="L196" s="47">
        <f t="shared" si="28"/>
        <v>0</v>
      </c>
      <c r="M196" s="47">
        <f t="shared" ca="1" si="24"/>
        <v>0</v>
      </c>
      <c r="N196" s="63">
        <f t="shared" si="25"/>
        <v>0</v>
      </c>
    </row>
    <row r="197" spans="1:14">
      <c r="A197" s="42"/>
      <c r="B197" s="43"/>
      <c r="C197" s="44"/>
      <c r="D197" s="44"/>
      <c r="E197" s="44"/>
      <c r="F197" s="44"/>
      <c r="G197" s="44"/>
      <c r="H197" s="45"/>
      <c r="I197" s="46">
        <f t="shared" si="20"/>
        <v>0</v>
      </c>
      <c r="J197" s="47">
        <f t="shared" ca="1" si="26"/>
        <v>0</v>
      </c>
      <c r="K197" s="47">
        <f t="shared" ca="1" si="27"/>
        <v>0</v>
      </c>
      <c r="L197" s="47">
        <f t="shared" si="28"/>
        <v>0</v>
      </c>
      <c r="M197" s="47">
        <f t="shared" ca="1" si="24"/>
        <v>0</v>
      </c>
      <c r="N197" s="63">
        <f t="shared" si="25"/>
        <v>0</v>
      </c>
    </row>
    <row r="198" spans="1:14">
      <c r="A198" s="42"/>
      <c r="B198" s="43"/>
      <c r="C198" s="44"/>
      <c r="D198" s="44"/>
      <c r="E198" s="44"/>
      <c r="F198" s="44"/>
      <c r="G198" s="44"/>
      <c r="H198" s="45"/>
      <c r="I198" s="46">
        <f t="shared" si="20"/>
        <v>0</v>
      </c>
      <c r="J198" s="47">
        <f t="shared" ca="1" si="26"/>
        <v>0</v>
      </c>
      <c r="K198" s="47">
        <f t="shared" ca="1" si="27"/>
        <v>0</v>
      </c>
      <c r="L198" s="47">
        <f t="shared" si="28"/>
        <v>0</v>
      </c>
      <c r="M198" s="47">
        <f t="shared" ca="1" si="24"/>
        <v>0</v>
      </c>
      <c r="N198" s="63">
        <f t="shared" si="25"/>
        <v>0</v>
      </c>
    </row>
    <row r="199" spans="1:14">
      <c r="A199" s="42"/>
      <c r="B199" s="43"/>
      <c r="C199" s="44"/>
      <c r="D199" s="44"/>
      <c r="E199" s="44"/>
      <c r="F199" s="44"/>
      <c r="G199" s="44"/>
      <c r="H199" s="45"/>
      <c r="I199" s="46">
        <f t="shared" si="20"/>
        <v>0</v>
      </c>
      <c r="J199" s="47">
        <f t="shared" ca="1" si="26"/>
        <v>0</v>
      </c>
      <c r="K199" s="47">
        <f t="shared" ca="1" si="27"/>
        <v>0</v>
      </c>
      <c r="L199" s="47">
        <f t="shared" si="28"/>
        <v>0</v>
      </c>
      <c r="M199" s="47">
        <f t="shared" ca="1" si="24"/>
        <v>0</v>
      </c>
      <c r="N199" s="63">
        <f t="shared" si="25"/>
        <v>0</v>
      </c>
    </row>
    <row r="200" spans="1:14">
      <c r="A200" s="42"/>
      <c r="B200" s="43"/>
      <c r="C200" s="44"/>
      <c r="D200" s="44"/>
      <c r="E200" s="44"/>
      <c r="F200" s="44"/>
      <c r="G200" s="44"/>
      <c r="H200" s="45"/>
      <c r="I200" s="46">
        <f t="shared" si="20"/>
        <v>0</v>
      </c>
      <c r="J200" s="47">
        <f t="shared" ca="1" si="26"/>
        <v>0</v>
      </c>
      <c r="K200" s="47">
        <f t="shared" ca="1" si="27"/>
        <v>0</v>
      </c>
      <c r="L200" s="47">
        <f t="shared" si="28"/>
        <v>0</v>
      </c>
      <c r="M200" s="47">
        <f t="shared" ca="1" si="24"/>
        <v>0</v>
      </c>
      <c r="N200" s="63">
        <f t="shared" si="25"/>
        <v>0</v>
      </c>
    </row>
    <row r="201" spans="1:14">
      <c r="A201" s="42"/>
      <c r="B201" s="43"/>
      <c r="C201" s="44"/>
      <c r="D201" s="44"/>
      <c r="E201" s="44"/>
      <c r="F201" s="44"/>
      <c r="G201" s="44"/>
      <c r="H201" s="45"/>
      <c r="I201" s="46">
        <f t="shared" si="20"/>
        <v>0</v>
      </c>
      <c r="J201" s="47">
        <f t="shared" ca="1" si="26"/>
        <v>0</v>
      </c>
      <c r="K201" s="47">
        <f t="shared" ca="1" si="27"/>
        <v>0</v>
      </c>
      <c r="L201" s="47">
        <f t="shared" si="28"/>
        <v>0</v>
      </c>
      <c r="M201" s="47">
        <f t="shared" ca="1" si="24"/>
        <v>0</v>
      </c>
      <c r="N201" s="63">
        <f t="shared" si="25"/>
        <v>0</v>
      </c>
    </row>
    <row r="202" spans="1:14">
      <c r="A202" s="42"/>
      <c r="B202" s="43"/>
      <c r="C202" s="44"/>
      <c r="D202" s="44"/>
      <c r="E202" s="44"/>
      <c r="F202" s="44"/>
      <c r="G202" s="44"/>
      <c r="H202" s="45"/>
      <c r="I202" s="46">
        <f t="shared" si="20"/>
        <v>0</v>
      </c>
      <c r="J202" s="47">
        <f t="shared" ca="1" si="26"/>
        <v>0</v>
      </c>
      <c r="K202" s="47">
        <f t="shared" ca="1" si="27"/>
        <v>0</v>
      </c>
      <c r="L202" s="47">
        <f t="shared" si="28"/>
        <v>0</v>
      </c>
      <c r="M202" s="47">
        <f t="shared" ca="1" si="24"/>
        <v>0</v>
      </c>
      <c r="N202" s="63">
        <f t="shared" si="25"/>
        <v>0</v>
      </c>
    </row>
    <row r="203" spans="1:14">
      <c r="A203" s="42"/>
      <c r="B203" s="43"/>
      <c r="C203" s="44"/>
      <c r="D203" s="44"/>
      <c r="E203" s="44"/>
      <c r="F203" s="44"/>
      <c r="G203" s="44"/>
      <c r="H203" s="45"/>
      <c r="I203" s="46">
        <f t="shared" si="20"/>
        <v>0</v>
      </c>
      <c r="J203" s="47">
        <f t="shared" ca="1" si="26"/>
        <v>0</v>
      </c>
      <c r="K203" s="47">
        <f t="shared" ca="1" si="27"/>
        <v>0</v>
      </c>
      <c r="L203" s="47">
        <f t="shared" si="28"/>
        <v>0</v>
      </c>
      <c r="M203" s="47">
        <f t="shared" ca="1" si="24"/>
        <v>0</v>
      </c>
      <c r="N203" s="63">
        <f t="shared" si="25"/>
        <v>0</v>
      </c>
    </row>
    <row r="204" spans="1:14">
      <c r="A204" s="42"/>
      <c r="B204" s="43"/>
      <c r="C204" s="44"/>
      <c r="D204" s="44"/>
      <c r="E204" s="44"/>
      <c r="F204" s="44"/>
      <c r="G204" s="44"/>
      <c r="H204" s="45"/>
      <c r="I204" s="46">
        <f t="shared" si="20"/>
        <v>0</v>
      </c>
      <c r="J204" s="47">
        <f t="shared" ca="1" si="26"/>
        <v>0</v>
      </c>
      <c r="K204" s="47">
        <f t="shared" ca="1" si="27"/>
        <v>0</v>
      </c>
      <c r="L204" s="47">
        <f t="shared" si="28"/>
        <v>0</v>
      </c>
      <c r="M204" s="47">
        <f t="shared" ca="1" si="24"/>
        <v>0</v>
      </c>
      <c r="N204" s="63">
        <f t="shared" si="25"/>
        <v>0</v>
      </c>
    </row>
    <row r="205" spans="1:14">
      <c r="A205" s="42"/>
      <c r="B205" s="43"/>
      <c r="C205" s="44"/>
      <c r="D205" s="44"/>
      <c r="E205" s="44"/>
      <c r="F205" s="44"/>
      <c r="G205" s="44"/>
      <c r="H205" s="45"/>
      <c r="I205" s="46">
        <f t="shared" si="20"/>
        <v>0</v>
      </c>
      <c r="J205" s="47">
        <f t="shared" ca="1" si="26"/>
        <v>0</v>
      </c>
      <c r="K205" s="47">
        <f t="shared" ca="1" si="27"/>
        <v>0</v>
      </c>
      <c r="L205" s="47">
        <f t="shared" si="28"/>
        <v>0</v>
      </c>
      <c r="M205" s="47">
        <f t="shared" ca="1" si="24"/>
        <v>0</v>
      </c>
      <c r="N205" s="63">
        <f t="shared" si="25"/>
        <v>0</v>
      </c>
    </row>
    <row r="206" spans="1:14">
      <c r="A206" s="42"/>
      <c r="B206" s="43"/>
      <c r="C206" s="44"/>
      <c r="D206" s="44"/>
      <c r="E206" s="44"/>
      <c r="F206" s="44"/>
      <c r="G206" s="44"/>
      <c r="H206" s="45"/>
      <c r="I206" s="46">
        <f t="shared" si="20"/>
        <v>0</v>
      </c>
      <c r="J206" s="47">
        <f t="shared" ca="1" si="26"/>
        <v>0</v>
      </c>
      <c r="K206" s="47">
        <f t="shared" ca="1" si="27"/>
        <v>0</v>
      </c>
      <c r="L206" s="47">
        <f t="shared" si="28"/>
        <v>0</v>
      </c>
      <c r="M206" s="47">
        <f t="shared" ca="1" si="24"/>
        <v>0</v>
      </c>
      <c r="N206" s="63">
        <f t="shared" si="25"/>
        <v>0</v>
      </c>
    </row>
    <row r="207" spans="1:14">
      <c r="A207" s="42"/>
      <c r="B207" s="43"/>
      <c r="C207" s="44"/>
      <c r="D207" s="44"/>
      <c r="E207" s="44"/>
      <c r="F207" s="44"/>
      <c r="G207" s="44"/>
      <c r="H207" s="45"/>
      <c r="I207" s="46">
        <f t="shared" si="20"/>
        <v>0</v>
      </c>
      <c r="J207" s="47">
        <f t="shared" ca="1" si="26"/>
        <v>0</v>
      </c>
      <c r="K207" s="47">
        <f t="shared" ca="1" si="27"/>
        <v>0</v>
      </c>
      <c r="L207" s="47">
        <f t="shared" si="28"/>
        <v>0</v>
      </c>
      <c r="M207" s="47">
        <f t="shared" ca="1" si="24"/>
        <v>0</v>
      </c>
      <c r="N207" s="63">
        <f t="shared" si="25"/>
        <v>0</v>
      </c>
    </row>
    <row r="208" spans="1:14">
      <c r="A208" s="42"/>
      <c r="B208" s="43"/>
      <c r="C208" s="44"/>
      <c r="D208" s="44"/>
      <c r="E208" s="44"/>
      <c r="F208" s="44"/>
      <c r="G208" s="44"/>
      <c r="H208" s="45"/>
      <c r="I208" s="46">
        <f t="shared" si="20"/>
        <v>0</v>
      </c>
      <c r="J208" s="47">
        <f t="shared" ca="1" si="26"/>
        <v>0</v>
      </c>
      <c r="K208" s="47">
        <f t="shared" ca="1" si="27"/>
        <v>0</v>
      </c>
      <c r="L208" s="47">
        <f t="shared" si="28"/>
        <v>0</v>
      </c>
      <c r="M208" s="47">
        <f t="shared" ca="1" si="24"/>
        <v>0</v>
      </c>
      <c r="N208" s="63">
        <f t="shared" si="25"/>
        <v>0</v>
      </c>
    </row>
    <row r="209" spans="1:14">
      <c r="A209" s="42"/>
      <c r="B209" s="43"/>
      <c r="C209" s="44"/>
      <c r="D209" s="44"/>
      <c r="E209" s="44"/>
      <c r="F209" s="44"/>
      <c r="G209" s="44"/>
      <c r="H209" s="45"/>
      <c r="I209" s="46">
        <f t="shared" ref="I209:I214" si="29">C209+1.5*D209+1.5*E209+2.25*F209+2*G209+3*H209</f>
        <v>0</v>
      </c>
      <c r="J209" s="47">
        <f t="shared" ref="J209:J214" ca="1" si="30">IF(I209=0,0,IF(B209="TOTAL",0,IF(A209=0,0,INDIRECT(B209))))</f>
        <v>0</v>
      </c>
      <c r="K209" s="47">
        <f t="shared" ref="K209:K214" ca="1" si="31">ROUND(IF(B209="TOTAL",0,IF(A209=0,0,INDIRECT(B209)*A209*I209)),2)</f>
        <v>0</v>
      </c>
      <c r="L209" s="47">
        <f t="shared" ref="L209:L214" si="32">IF(B209="TOTAL",0,IF(A209=0,0,SUM(C209:H209)*A209*ROUND(J209*0.08,2)))</f>
        <v>0</v>
      </c>
      <c r="M209" s="47">
        <f t="shared" ref="M209:M214" ca="1" si="33">K209+L209</f>
        <v>0</v>
      </c>
      <c r="N209" s="63">
        <f t="shared" si="25"/>
        <v>0</v>
      </c>
    </row>
    <row r="210" spans="1:14">
      <c r="A210" s="42"/>
      <c r="B210" s="43"/>
      <c r="C210" s="44"/>
      <c r="D210" s="44"/>
      <c r="E210" s="44"/>
      <c r="F210" s="44"/>
      <c r="G210" s="44"/>
      <c r="H210" s="45"/>
      <c r="I210" s="46">
        <f t="shared" si="29"/>
        <v>0</v>
      </c>
      <c r="J210" s="47">
        <f t="shared" ca="1" si="30"/>
        <v>0</v>
      </c>
      <c r="K210" s="47">
        <f t="shared" ca="1" si="31"/>
        <v>0</v>
      </c>
      <c r="L210" s="47">
        <f t="shared" si="32"/>
        <v>0</v>
      </c>
      <c r="M210" s="47">
        <f t="shared" ca="1" si="33"/>
        <v>0</v>
      </c>
      <c r="N210" s="63">
        <f t="shared" si="25"/>
        <v>0</v>
      </c>
    </row>
    <row r="211" spans="1:14">
      <c r="A211" s="42"/>
      <c r="B211" s="43"/>
      <c r="C211" s="44"/>
      <c r="D211" s="44"/>
      <c r="E211" s="44"/>
      <c r="F211" s="44"/>
      <c r="G211" s="44"/>
      <c r="H211" s="45"/>
      <c r="I211" s="46">
        <f t="shared" si="29"/>
        <v>0</v>
      </c>
      <c r="J211" s="47">
        <f t="shared" ca="1" si="30"/>
        <v>0</v>
      </c>
      <c r="K211" s="47">
        <f t="shared" ca="1" si="31"/>
        <v>0</v>
      </c>
      <c r="L211" s="47">
        <f t="shared" si="32"/>
        <v>0</v>
      </c>
      <c r="M211" s="47">
        <f t="shared" ca="1" si="33"/>
        <v>0</v>
      </c>
      <c r="N211" s="63">
        <f t="shared" si="25"/>
        <v>0</v>
      </c>
    </row>
    <row r="212" spans="1:14">
      <c r="A212" s="42"/>
      <c r="B212" s="43"/>
      <c r="C212" s="44"/>
      <c r="D212" s="44"/>
      <c r="E212" s="44"/>
      <c r="F212" s="44"/>
      <c r="G212" s="44"/>
      <c r="H212" s="45"/>
      <c r="I212" s="46">
        <f t="shared" si="29"/>
        <v>0</v>
      </c>
      <c r="J212" s="47">
        <f t="shared" ca="1" si="30"/>
        <v>0</v>
      </c>
      <c r="K212" s="47">
        <f t="shared" ca="1" si="31"/>
        <v>0</v>
      </c>
      <c r="L212" s="47">
        <f t="shared" si="32"/>
        <v>0</v>
      </c>
      <c r="M212" s="47">
        <f t="shared" ca="1" si="33"/>
        <v>0</v>
      </c>
      <c r="N212" s="63">
        <f t="shared" si="25"/>
        <v>0</v>
      </c>
    </row>
    <row r="213" spans="1:14">
      <c r="A213" s="42"/>
      <c r="B213" s="43"/>
      <c r="C213" s="44"/>
      <c r="D213" s="44"/>
      <c r="E213" s="44"/>
      <c r="F213" s="44"/>
      <c r="G213" s="44"/>
      <c r="H213" s="45"/>
      <c r="I213" s="46">
        <f t="shared" si="29"/>
        <v>0</v>
      </c>
      <c r="J213" s="47">
        <f t="shared" ca="1" si="30"/>
        <v>0</v>
      </c>
      <c r="K213" s="47">
        <f t="shared" ca="1" si="31"/>
        <v>0</v>
      </c>
      <c r="L213" s="47">
        <f t="shared" si="32"/>
        <v>0</v>
      </c>
      <c r="M213" s="47">
        <f t="shared" ca="1" si="33"/>
        <v>0</v>
      </c>
      <c r="N213" s="63">
        <f t="shared" si="25"/>
        <v>0</v>
      </c>
    </row>
    <row r="214" spans="1:14" ht="17" thickBot="1">
      <c r="A214" s="48"/>
      <c r="B214" s="49"/>
      <c r="C214" s="50"/>
      <c r="D214" s="50"/>
      <c r="E214" s="50"/>
      <c r="F214" s="50"/>
      <c r="G214" s="50"/>
      <c r="H214" s="51"/>
      <c r="I214" s="52">
        <f t="shared" si="29"/>
        <v>0</v>
      </c>
      <c r="J214" s="53">
        <f t="shared" ca="1" si="30"/>
        <v>0</v>
      </c>
      <c r="K214" s="53">
        <f t="shared" ca="1" si="31"/>
        <v>0</v>
      </c>
      <c r="L214" s="53">
        <f t="shared" si="32"/>
        <v>0</v>
      </c>
      <c r="M214" s="53">
        <f t="shared" ca="1" si="33"/>
        <v>0</v>
      </c>
      <c r="N214" s="63">
        <f t="shared" si="25"/>
        <v>0</v>
      </c>
    </row>
    <row r="215" spans="1:14" ht="17" thickTop="1">
      <c r="A215" s="27" t="s">
        <v>20</v>
      </c>
      <c r="B215" s="28"/>
      <c r="C215" s="29" t="s">
        <v>21</v>
      </c>
      <c r="D215" s="29"/>
      <c r="E215" s="29"/>
      <c r="F215" s="29"/>
      <c r="G215" s="29"/>
      <c r="H215" s="30"/>
      <c r="I215" s="31" t="s">
        <v>22</v>
      </c>
      <c r="J215" s="32" t="s">
        <v>23</v>
      </c>
      <c r="K215" s="33" t="s">
        <v>24</v>
      </c>
      <c r="L215" s="34" t="s">
        <v>25</v>
      </c>
      <c r="M215" s="33" t="s">
        <v>26</v>
      </c>
      <c r="N215" s="63">
        <f t="shared" si="25"/>
        <v>0</v>
      </c>
    </row>
    <row r="216" spans="1:14" ht="17" thickBot="1">
      <c r="A216" s="35" t="s">
        <v>27</v>
      </c>
      <c r="B216" s="36" t="s">
        <v>28</v>
      </c>
      <c r="C216" s="37" t="s">
        <v>29</v>
      </c>
      <c r="D216" s="37" t="s">
        <v>30</v>
      </c>
      <c r="E216" s="37" t="s">
        <v>31</v>
      </c>
      <c r="F216" s="37" t="s">
        <v>32</v>
      </c>
      <c r="G216" s="37" t="s">
        <v>33</v>
      </c>
      <c r="H216" s="38" t="s">
        <v>34</v>
      </c>
      <c r="I216" s="39" t="s">
        <v>35</v>
      </c>
      <c r="J216" s="36" t="s">
        <v>36</v>
      </c>
      <c r="K216" s="36" t="s">
        <v>37</v>
      </c>
      <c r="L216" s="40" t="s">
        <v>38</v>
      </c>
      <c r="M216" s="36" t="s">
        <v>37</v>
      </c>
      <c r="N216" s="63">
        <f t="shared" ref="N216:N279" si="34">IF(I216=0,0,SUM(C216:H216))*A216</f>
        <v>0</v>
      </c>
    </row>
    <row r="217" spans="1:14" ht="17" thickTop="1">
      <c r="A217" s="42"/>
      <c r="B217" s="43"/>
      <c r="C217" s="44"/>
      <c r="D217" s="44"/>
      <c r="E217" s="44"/>
      <c r="F217" s="44"/>
      <c r="G217" s="44"/>
      <c r="H217" s="45"/>
      <c r="I217" s="46">
        <f t="shared" ref="I217:I280" si="35">C217+1.5*D217+1.5*E217+2.25*F217+2*G217+3*H217</f>
        <v>0</v>
      </c>
      <c r="J217" s="47">
        <f t="shared" ref="J217:J248" ca="1" si="36">IF(I217=0,0,IF(B217="TOTAL",0,IF(A217=0,0,INDIRECT(B217))))</f>
        <v>0</v>
      </c>
      <c r="K217" s="47">
        <f t="shared" ref="K217:K248" ca="1" si="37">ROUND(IF(B217="TOTAL",0,IF(A217=0,0,INDIRECT(B217)*A217*I217)),2)</f>
        <v>0</v>
      </c>
      <c r="L217" s="47">
        <f t="shared" ref="L217:L248" si="38">IF(B217="TOTAL",0,IF(A217=0,0,SUM(C217:H217)*A217*ROUND(J217*0.08,2)))</f>
        <v>0</v>
      </c>
      <c r="M217" s="47">
        <f t="shared" ref="M217:M280" ca="1" si="39">K217+L217</f>
        <v>0</v>
      </c>
      <c r="N217" s="63">
        <f t="shared" si="34"/>
        <v>0</v>
      </c>
    </row>
    <row r="218" spans="1:14">
      <c r="A218" s="42"/>
      <c r="B218" s="43"/>
      <c r="C218" s="44"/>
      <c r="D218" s="44"/>
      <c r="E218" s="44"/>
      <c r="F218" s="44"/>
      <c r="G218" s="44"/>
      <c r="H218" s="45"/>
      <c r="I218" s="46">
        <f t="shared" si="35"/>
        <v>0</v>
      </c>
      <c r="J218" s="47">
        <f t="shared" ca="1" si="36"/>
        <v>0</v>
      </c>
      <c r="K218" s="47">
        <f t="shared" ca="1" si="37"/>
        <v>0</v>
      </c>
      <c r="L218" s="47">
        <f t="shared" si="38"/>
        <v>0</v>
      </c>
      <c r="M218" s="47">
        <f t="shared" ca="1" si="39"/>
        <v>0</v>
      </c>
      <c r="N218" s="63">
        <f t="shared" si="34"/>
        <v>0</v>
      </c>
    </row>
    <row r="219" spans="1:14">
      <c r="A219" s="42"/>
      <c r="B219" s="43"/>
      <c r="C219" s="44"/>
      <c r="D219" s="44"/>
      <c r="E219" s="44"/>
      <c r="F219" s="44"/>
      <c r="G219" s="44"/>
      <c r="H219" s="45"/>
      <c r="I219" s="46">
        <f t="shared" si="35"/>
        <v>0</v>
      </c>
      <c r="J219" s="47">
        <f t="shared" ca="1" si="36"/>
        <v>0</v>
      </c>
      <c r="K219" s="47">
        <f t="shared" ca="1" si="37"/>
        <v>0</v>
      </c>
      <c r="L219" s="47">
        <f t="shared" si="38"/>
        <v>0</v>
      </c>
      <c r="M219" s="47">
        <f t="shared" ca="1" si="39"/>
        <v>0</v>
      </c>
      <c r="N219" s="63">
        <f t="shared" si="34"/>
        <v>0</v>
      </c>
    </row>
    <row r="220" spans="1:14">
      <c r="A220" s="42"/>
      <c r="B220" s="43"/>
      <c r="C220" s="44"/>
      <c r="D220" s="44"/>
      <c r="E220" s="44"/>
      <c r="F220" s="44"/>
      <c r="G220" s="44"/>
      <c r="H220" s="45"/>
      <c r="I220" s="46">
        <f t="shared" si="35"/>
        <v>0</v>
      </c>
      <c r="J220" s="47">
        <f t="shared" ca="1" si="36"/>
        <v>0</v>
      </c>
      <c r="K220" s="47">
        <f t="shared" ca="1" si="37"/>
        <v>0</v>
      </c>
      <c r="L220" s="47">
        <f t="shared" si="38"/>
        <v>0</v>
      </c>
      <c r="M220" s="47">
        <f t="shared" ca="1" si="39"/>
        <v>0</v>
      </c>
      <c r="N220" s="63">
        <f t="shared" si="34"/>
        <v>0</v>
      </c>
    </row>
    <row r="221" spans="1:14">
      <c r="A221" s="42"/>
      <c r="B221" s="43"/>
      <c r="C221" s="44"/>
      <c r="D221" s="44"/>
      <c r="E221" s="44"/>
      <c r="F221" s="44"/>
      <c r="G221" s="44"/>
      <c r="H221" s="45"/>
      <c r="I221" s="46">
        <f t="shared" si="35"/>
        <v>0</v>
      </c>
      <c r="J221" s="47">
        <f t="shared" ca="1" si="36"/>
        <v>0</v>
      </c>
      <c r="K221" s="47">
        <f t="shared" ca="1" si="37"/>
        <v>0</v>
      </c>
      <c r="L221" s="47">
        <f t="shared" si="38"/>
        <v>0</v>
      </c>
      <c r="M221" s="47">
        <f t="shared" ca="1" si="39"/>
        <v>0</v>
      </c>
      <c r="N221" s="63">
        <f t="shared" si="34"/>
        <v>0</v>
      </c>
    </row>
    <row r="222" spans="1:14">
      <c r="A222" s="42"/>
      <c r="B222" s="43"/>
      <c r="C222" s="44"/>
      <c r="D222" s="44"/>
      <c r="E222" s="44"/>
      <c r="F222" s="44"/>
      <c r="G222" s="44"/>
      <c r="H222" s="45"/>
      <c r="I222" s="46">
        <f t="shared" si="35"/>
        <v>0</v>
      </c>
      <c r="J222" s="47">
        <f t="shared" ca="1" si="36"/>
        <v>0</v>
      </c>
      <c r="K222" s="47">
        <f t="shared" ca="1" si="37"/>
        <v>0</v>
      </c>
      <c r="L222" s="47">
        <f t="shared" si="38"/>
        <v>0</v>
      </c>
      <c r="M222" s="47">
        <f t="shared" ca="1" si="39"/>
        <v>0</v>
      </c>
      <c r="N222" s="63">
        <f t="shared" si="34"/>
        <v>0</v>
      </c>
    </row>
    <row r="223" spans="1:14">
      <c r="A223" s="42"/>
      <c r="B223" s="43"/>
      <c r="C223" s="44"/>
      <c r="D223" s="44"/>
      <c r="E223" s="44"/>
      <c r="F223" s="44"/>
      <c r="G223" s="44"/>
      <c r="H223" s="45"/>
      <c r="I223" s="46">
        <f t="shared" si="35"/>
        <v>0</v>
      </c>
      <c r="J223" s="47">
        <f t="shared" ca="1" si="36"/>
        <v>0</v>
      </c>
      <c r="K223" s="47">
        <f t="shared" ca="1" si="37"/>
        <v>0</v>
      </c>
      <c r="L223" s="47">
        <f t="shared" si="38"/>
        <v>0</v>
      </c>
      <c r="M223" s="47">
        <f t="shared" ca="1" si="39"/>
        <v>0</v>
      </c>
      <c r="N223" s="63">
        <f t="shared" si="34"/>
        <v>0</v>
      </c>
    </row>
    <row r="224" spans="1:14">
      <c r="A224" s="42"/>
      <c r="B224" s="43"/>
      <c r="C224" s="44"/>
      <c r="D224" s="44"/>
      <c r="E224" s="44"/>
      <c r="F224" s="44"/>
      <c r="G224" s="44"/>
      <c r="H224" s="45"/>
      <c r="I224" s="46">
        <f t="shared" si="35"/>
        <v>0</v>
      </c>
      <c r="J224" s="47">
        <f t="shared" ca="1" si="36"/>
        <v>0</v>
      </c>
      <c r="K224" s="47">
        <f t="shared" ca="1" si="37"/>
        <v>0</v>
      </c>
      <c r="L224" s="47">
        <f t="shared" si="38"/>
        <v>0</v>
      </c>
      <c r="M224" s="47">
        <f t="shared" ca="1" si="39"/>
        <v>0</v>
      </c>
      <c r="N224" s="63">
        <f t="shared" si="34"/>
        <v>0</v>
      </c>
    </row>
    <row r="225" spans="1:14">
      <c r="A225" s="42"/>
      <c r="B225" s="43"/>
      <c r="C225" s="44"/>
      <c r="D225" s="44"/>
      <c r="E225" s="44"/>
      <c r="F225" s="44"/>
      <c r="G225" s="44"/>
      <c r="H225" s="45"/>
      <c r="I225" s="46">
        <f t="shared" si="35"/>
        <v>0</v>
      </c>
      <c r="J225" s="47">
        <f t="shared" ca="1" si="36"/>
        <v>0</v>
      </c>
      <c r="K225" s="47">
        <f t="shared" ca="1" si="37"/>
        <v>0</v>
      </c>
      <c r="L225" s="47">
        <f t="shared" si="38"/>
        <v>0</v>
      </c>
      <c r="M225" s="47">
        <f t="shared" ca="1" si="39"/>
        <v>0</v>
      </c>
      <c r="N225" s="63">
        <f t="shared" si="34"/>
        <v>0</v>
      </c>
    </row>
    <row r="226" spans="1:14">
      <c r="A226" s="42"/>
      <c r="B226" s="43"/>
      <c r="C226" s="44"/>
      <c r="D226" s="44"/>
      <c r="E226" s="44"/>
      <c r="F226" s="44"/>
      <c r="G226" s="44"/>
      <c r="H226" s="45"/>
      <c r="I226" s="46">
        <f t="shared" si="35"/>
        <v>0</v>
      </c>
      <c r="J226" s="47">
        <f t="shared" ca="1" si="36"/>
        <v>0</v>
      </c>
      <c r="K226" s="47">
        <f t="shared" ca="1" si="37"/>
        <v>0</v>
      </c>
      <c r="L226" s="47">
        <f t="shared" si="38"/>
        <v>0</v>
      </c>
      <c r="M226" s="47">
        <f t="shared" ca="1" si="39"/>
        <v>0</v>
      </c>
      <c r="N226" s="63">
        <f t="shared" si="34"/>
        <v>0</v>
      </c>
    </row>
    <row r="227" spans="1:14">
      <c r="A227" s="42"/>
      <c r="B227" s="43"/>
      <c r="C227" s="44"/>
      <c r="D227" s="44"/>
      <c r="E227" s="44"/>
      <c r="F227" s="44"/>
      <c r="G227" s="44"/>
      <c r="H227" s="45"/>
      <c r="I227" s="46">
        <f t="shared" si="35"/>
        <v>0</v>
      </c>
      <c r="J227" s="47">
        <f t="shared" ca="1" si="36"/>
        <v>0</v>
      </c>
      <c r="K227" s="47">
        <f t="shared" ca="1" si="37"/>
        <v>0</v>
      </c>
      <c r="L227" s="47">
        <f t="shared" si="38"/>
        <v>0</v>
      </c>
      <c r="M227" s="47">
        <f t="shared" ca="1" si="39"/>
        <v>0</v>
      </c>
      <c r="N227" s="63">
        <f t="shared" si="34"/>
        <v>0</v>
      </c>
    </row>
    <row r="228" spans="1:14">
      <c r="A228" s="42"/>
      <c r="B228" s="43"/>
      <c r="C228" s="44"/>
      <c r="D228" s="44"/>
      <c r="E228" s="44"/>
      <c r="F228" s="44"/>
      <c r="G228" s="44"/>
      <c r="H228" s="45"/>
      <c r="I228" s="46">
        <f t="shared" si="35"/>
        <v>0</v>
      </c>
      <c r="J228" s="47">
        <f t="shared" ca="1" si="36"/>
        <v>0</v>
      </c>
      <c r="K228" s="47">
        <f t="shared" ca="1" si="37"/>
        <v>0</v>
      </c>
      <c r="L228" s="47">
        <f t="shared" si="38"/>
        <v>0</v>
      </c>
      <c r="M228" s="47">
        <f t="shared" ca="1" si="39"/>
        <v>0</v>
      </c>
      <c r="N228" s="63">
        <f t="shared" si="34"/>
        <v>0</v>
      </c>
    </row>
    <row r="229" spans="1:14">
      <c r="A229" s="42"/>
      <c r="B229" s="43"/>
      <c r="C229" s="44"/>
      <c r="D229" s="44"/>
      <c r="E229" s="44"/>
      <c r="F229" s="44"/>
      <c r="G229" s="44"/>
      <c r="H229" s="45"/>
      <c r="I229" s="46">
        <f t="shared" si="35"/>
        <v>0</v>
      </c>
      <c r="J229" s="47">
        <f t="shared" ca="1" si="36"/>
        <v>0</v>
      </c>
      <c r="K229" s="47">
        <f t="shared" ca="1" si="37"/>
        <v>0</v>
      </c>
      <c r="L229" s="47">
        <f t="shared" si="38"/>
        <v>0</v>
      </c>
      <c r="M229" s="47">
        <f t="shared" ca="1" si="39"/>
        <v>0</v>
      </c>
      <c r="N229" s="63">
        <f t="shared" si="34"/>
        <v>0</v>
      </c>
    </row>
    <row r="230" spans="1:14">
      <c r="A230" s="42"/>
      <c r="B230" s="43"/>
      <c r="C230" s="44"/>
      <c r="D230" s="44"/>
      <c r="E230" s="44"/>
      <c r="F230" s="44"/>
      <c r="G230" s="44"/>
      <c r="H230" s="45"/>
      <c r="I230" s="46">
        <f t="shared" si="35"/>
        <v>0</v>
      </c>
      <c r="J230" s="47">
        <f t="shared" ca="1" si="36"/>
        <v>0</v>
      </c>
      <c r="K230" s="47">
        <f t="shared" ca="1" si="37"/>
        <v>0</v>
      </c>
      <c r="L230" s="47">
        <f t="shared" si="38"/>
        <v>0</v>
      </c>
      <c r="M230" s="47">
        <f t="shared" ca="1" si="39"/>
        <v>0</v>
      </c>
      <c r="N230" s="63">
        <f t="shared" si="34"/>
        <v>0</v>
      </c>
    </row>
    <row r="231" spans="1:14">
      <c r="A231" s="42"/>
      <c r="B231" s="43"/>
      <c r="C231" s="44"/>
      <c r="D231" s="44"/>
      <c r="E231" s="44"/>
      <c r="F231" s="44"/>
      <c r="G231" s="44"/>
      <c r="H231" s="45"/>
      <c r="I231" s="46">
        <f t="shared" si="35"/>
        <v>0</v>
      </c>
      <c r="J231" s="47">
        <f t="shared" ca="1" si="36"/>
        <v>0</v>
      </c>
      <c r="K231" s="47">
        <f t="shared" ca="1" si="37"/>
        <v>0</v>
      </c>
      <c r="L231" s="47">
        <f t="shared" si="38"/>
        <v>0</v>
      </c>
      <c r="M231" s="47">
        <f t="shared" ca="1" si="39"/>
        <v>0</v>
      </c>
      <c r="N231" s="63">
        <f t="shared" si="34"/>
        <v>0</v>
      </c>
    </row>
    <row r="232" spans="1:14">
      <c r="A232" s="42"/>
      <c r="B232" s="43"/>
      <c r="C232" s="44"/>
      <c r="D232" s="44"/>
      <c r="E232" s="44"/>
      <c r="F232" s="44"/>
      <c r="G232" s="44"/>
      <c r="H232" s="45"/>
      <c r="I232" s="46">
        <f t="shared" si="35"/>
        <v>0</v>
      </c>
      <c r="J232" s="47">
        <f t="shared" ca="1" si="36"/>
        <v>0</v>
      </c>
      <c r="K232" s="47">
        <f t="shared" ca="1" si="37"/>
        <v>0</v>
      </c>
      <c r="L232" s="47">
        <f t="shared" si="38"/>
        <v>0</v>
      </c>
      <c r="M232" s="47">
        <f t="shared" ca="1" si="39"/>
        <v>0</v>
      </c>
      <c r="N232" s="63">
        <f t="shared" si="34"/>
        <v>0</v>
      </c>
    </row>
    <row r="233" spans="1:14">
      <c r="A233" s="42"/>
      <c r="B233" s="43"/>
      <c r="C233" s="44"/>
      <c r="D233" s="44"/>
      <c r="E233" s="44"/>
      <c r="F233" s="44"/>
      <c r="G233" s="44"/>
      <c r="H233" s="45"/>
      <c r="I233" s="46">
        <f t="shared" si="35"/>
        <v>0</v>
      </c>
      <c r="J233" s="47">
        <f t="shared" ca="1" si="36"/>
        <v>0</v>
      </c>
      <c r="K233" s="47">
        <f t="shared" ca="1" si="37"/>
        <v>0</v>
      </c>
      <c r="L233" s="47">
        <f t="shared" si="38"/>
        <v>0</v>
      </c>
      <c r="M233" s="47">
        <f t="shared" ca="1" si="39"/>
        <v>0</v>
      </c>
      <c r="N233" s="63">
        <f t="shared" si="34"/>
        <v>0</v>
      </c>
    </row>
    <row r="234" spans="1:14">
      <c r="A234" s="42"/>
      <c r="B234" s="43"/>
      <c r="C234" s="44"/>
      <c r="D234" s="44"/>
      <c r="E234" s="44"/>
      <c r="F234" s="44"/>
      <c r="G234" s="44"/>
      <c r="H234" s="45"/>
      <c r="I234" s="46">
        <f t="shared" si="35"/>
        <v>0</v>
      </c>
      <c r="J234" s="47">
        <f t="shared" ca="1" si="36"/>
        <v>0</v>
      </c>
      <c r="K234" s="47">
        <f t="shared" ca="1" si="37"/>
        <v>0</v>
      </c>
      <c r="L234" s="47">
        <f t="shared" si="38"/>
        <v>0</v>
      </c>
      <c r="M234" s="47">
        <f t="shared" ca="1" si="39"/>
        <v>0</v>
      </c>
      <c r="N234" s="63">
        <f t="shared" si="34"/>
        <v>0</v>
      </c>
    </row>
    <row r="235" spans="1:14">
      <c r="A235" s="42"/>
      <c r="B235" s="43"/>
      <c r="C235" s="44"/>
      <c r="D235" s="44"/>
      <c r="E235" s="44"/>
      <c r="F235" s="44"/>
      <c r="G235" s="44"/>
      <c r="H235" s="45"/>
      <c r="I235" s="46">
        <f t="shared" si="35"/>
        <v>0</v>
      </c>
      <c r="J235" s="47">
        <f t="shared" ca="1" si="36"/>
        <v>0</v>
      </c>
      <c r="K235" s="47">
        <f t="shared" ca="1" si="37"/>
        <v>0</v>
      </c>
      <c r="L235" s="47">
        <f t="shared" si="38"/>
        <v>0</v>
      </c>
      <c r="M235" s="47">
        <f t="shared" ca="1" si="39"/>
        <v>0</v>
      </c>
      <c r="N235" s="63">
        <f t="shared" si="34"/>
        <v>0</v>
      </c>
    </row>
    <row r="236" spans="1:14">
      <c r="A236" s="42"/>
      <c r="B236" s="43"/>
      <c r="C236" s="44"/>
      <c r="D236" s="44"/>
      <c r="E236" s="44"/>
      <c r="F236" s="44"/>
      <c r="G236" s="44"/>
      <c r="H236" s="45"/>
      <c r="I236" s="46">
        <f t="shared" si="35"/>
        <v>0</v>
      </c>
      <c r="J236" s="47">
        <f t="shared" ca="1" si="36"/>
        <v>0</v>
      </c>
      <c r="K236" s="47">
        <f t="shared" ca="1" si="37"/>
        <v>0</v>
      </c>
      <c r="L236" s="47">
        <f t="shared" si="38"/>
        <v>0</v>
      </c>
      <c r="M236" s="47">
        <f t="shared" ca="1" si="39"/>
        <v>0</v>
      </c>
      <c r="N236" s="63">
        <f t="shared" si="34"/>
        <v>0</v>
      </c>
    </row>
    <row r="237" spans="1:14">
      <c r="A237" s="42"/>
      <c r="B237" s="43"/>
      <c r="C237" s="44"/>
      <c r="D237" s="44"/>
      <c r="E237" s="44"/>
      <c r="F237" s="44"/>
      <c r="G237" s="44"/>
      <c r="H237" s="45"/>
      <c r="I237" s="46">
        <f t="shared" si="35"/>
        <v>0</v>
      </c>
      <c r="J237" s="47">
        <f t="shared" ca="1" si="36"/>
        <v>0</v>
      </c>
      <c r="K237" s="47">
        <f t="shared" ca="1" si="37"/>
        <v>0</v>
      </c>
      <c r="L237" s="47">
        <f t="shared" si="38"/>
        <v>0</v>
      </c>
      <c r="M237" s="47">
        <f t="shared" ca="1" si="39"/>
        <v>0</v>
      </c>
      <c r="N237" s="63">
        <f t="shared" si="34"/>
        <v>0</v>
      </c>
    </row>
    <row r="238" spans="1:14">
      <c r="A238" s="42"/>
      <c r="B238" s="43"/>
      <c r="C238" s="44"/>
      <c r="D238" s="44"/>
      <c r="E238" s="44"/>
      <c r="F238" s="44"/>
      <c r="G238" s="44"/>
      <c r="H238" s="45"/>
      <c r="I238" s="46">
        <f t="shared" si="35"/>
        <v>0</v>
      </c>
      <c r="J238" s="47">
        <f t="shared" ca="1" si="36"/>
        <v>0</v>
      </c>
      <c r="K238" s="47">
        <f t="shared" ca="1" si="37"/>
        <v>0</v>
      </c>
      <c r="L238" s="47">
        <f t="shared" si="38"/>
        <v>0</v>
      </c>
      <c r="M238" s="47">
        <f t="shared" ca="1" si="39"/>
        <v>0</v>
      </c>
      <c r="N238" s="63">
        <f t="shared" si="34"/>
        <v>0</v>
      </c>
    </row>
    <row r="239" spans="1:14">
      <c r="A239" s="42"/>
      <c r="B239" s="43"/>
      <c r="C239" s="44"/>
      <c r="D239" s="44"/>
      <c r="E239" s="44"/>
      <c r="F239" s="44"/>
      <c r="G239" s="44"/>
      <c r="H239" s="45"/>
      <c r="I239" s="46">
        <f t="shared" si="35"/>
        <v>0</v>
      </c>
      <c r="J239" s="47">
        <f t="shared" ca="1" si="36"/>
        <v>0</v>
      </c>
      <c r="K239" s="47">
        <f t="shared" ca="1" si="37"/>
        <v>0</v>
      </c>
      <c r="L239" s="47">
        <f t="shared" si="38"/>
        <v>0</v>
      </c>
      <c r="M239" s="47">
        <f t="shared" ca="1" si="39"/>
        <v>0</v>
      </c>
      <c r="N239" s="63">
        <f t="shared" si="34"/>
        <v>0</v>
      </c>
    </row>
    <row r="240" spans="1:14">
      <c r="A240" s="42"/>
      <c r="B240" s="43"/>
      <c r="C240" s="44"/>
      <c r="D240" s="44"/>
      <c r="E240" s="44"/>
      <c r="F240" s="44"/>
      <c r="G240" s="44"/>
      <c r="H240" s="45"/>
      <c r="I240" s="46">
        <f t="shared" si="35"/>
        <v>0</v>
      </c>
      <c r="J240" s="47">
        <f t="shared" ca="1" si="36"/>
        <v>0</v>
      </c>
      <c r="K240" s="47">
        <f t="shared" ca="1" si="37"/>
        <v>0</v>
      </c>
      <c r="L240" s="47">
        <f t="shared" si="38"/>
        <v>0</v>
      </c>
      <c r="M240" s="47">
        <f t="shared" ca="1" si="39"/>
        <v>0</v>
      </c>
      <c r="N240" s="63">
        <f t="shared" si="34"/>
        <v>0</v>
      </c>
    </row>
    <row r="241" spans="1:14">
      <c r="A241" s="42"/>
      <c r="B241" s="43"/>
      <c r="C241" s="44"/>
      <c r="D241" s="44"/>
      <c r="E241" s="44"/>
      <c r="F241" s="44"/>
      <c r="G241" s="44"/>
      <c r="H241" s="45"/>
      <c r="I241" s="46">
        <f t="shared" si="35"/>
        <v>0</v>
      </c>
      <c r="J241" s="47">
        <f t="shared" ca="1" si="36"/>
        <v>0</v>
      </c>
      <c r="K241" s="47">
        <f t="shared" ca="1" si="37"/>
        <v>0</v>
      </c>
      <c r="L241" s="47">
        <f t="shared" si="38"/>
        <v>0</v>
      </c>
      <c r="M241" s="47">
        <f t="shared" ca="1" si="39"/>
        <v>0</v>
      </c>
      <c r="N241" s="63">
        <f t="shared" si="34"/>
        <v>0</v>
      </c>
    </row>
    <row r="242" spans="1:14">
      <c r="A242" s="42"/>
      <c r="B242" s="43"/>
      <c r="C242" s="44"/>
      <c r="D242" s="44"/>
      <c r="E242" s="44"/>
      <c r="F242" s="44"/>
      <c r="G242" s="44"/>
      <c r="H242" s="45"/>
      <c r="I242" s="46">
        <f t="shared" si="35"/>
        <v>0</v>
      </c>
      <c r="J242" s="47">
        <f t="shared" ca="1" si="36"/>
        <v>0</v>
      </c>
      <c r="K242" s="47">
        <f t="shared" ca="1" si="37"/>
        <v>0</v>
      </c>
      <c r="L242" s="47">
        <f t="shared" si="38"/>
        <v>0</v>
      </c>
      <c r="M242" s="47">
        <f t="shared" ca="1" si="39"/>
        <v>0</v>
      </c>
      <c r="N242" s="63">
        <f t="shared" si="34"/>
        <v>0</v>
      </c>
    </row>
    <row r="243" spans="1:14">
      <c r="A243" s="42"/>
      <c r="B243" s="43"/>
      <c r="C243" s="44"/>
      <c r="D243" s="44"/>
      <c r="E243" s="44"/>
      <c r="F243" s="44"/>
      <c r="G243" s="44"/>
      <c r="H243" s="45"/>
      <c r="I243" s="46">
        <f t="shared" si="35"/>
        <v>0</v>
      </c>
      <c r="J243" s="47">
        <f t="shared" ca="1" si="36"/>
        <v>0</v>
      </c>
      <c r="K243" s="47">
        <f t="shared" ca="1" si="37"/>
        <v>0</v>
      </c>
      <c r="L243" s="47">
        <f t="shared" si="38"/>
        <v>0</v>
      </c>
      <c r="M243" s="47">
        <f t="shared" ca="1" si="39"/>
        <v>0</v>
      </c>
      <c r="N243" s="63">
        <f t="shared" si="34"/>
        <v>0</v>
      </c>
    </row>
    <row r="244" spans="1:14">
      <c r="A244" s="42"/>
      <c r="B244" s="43"/>
      <c r="C244" s="44"/>
      <c r="D244" s="44"/>
      <c r="E244" s="44"/>
      <c r="F244" s="44"/>
      <c r="G244" s="44"/>
      <c r="H244" s="45"/>
      <c r="I244" s="46">
        <f t="shared" si="35"/>
        <v>0</v>
      </c>
      <c r="J244" s="47">
        <f t="shared" ca="1" si="36"/>
        <v>0</v>
      </c>
      <c r="K244" s="47">
        <f t="shared" ca="1" si="37"/>
        <v>0</v>
      </c>
      <c r="L244" s="47">
        <f t="shared" si="38"/>
        <v>0</v>
      </c>
      <c r="M244" s="47">
        <f t="shared" ca="1" si="39"/>
        <v>0</v>
      </c>
      <c r="N244" s="63">
        <f t="shared" si="34"/>
        <v>0</v>
      </c>
    </row>
    <row r="245" spans="1:14">
      <c r="A245" s="42"/>
      <c r="B245" s="43"/>
      <c r="C245" s="44"/>
      <c r="D245" s="44"/>
      <c r="E245" s="44"/>
      <c r="F245" s="44"/>
      <c r="G245" s="44"/>
      <c r="H245" s="45"/>
      <c r="I245" s="46">
        <f t="shared" si="35"/>
        <v>0</v>
      </c>
      <c r="J245" s="47">
        <f t="shared" ca="1" si="36"/>
        <v>0</v>
      </c>
      <c r="K245" s="47">
        <f t="shared" ca="1" si="37"/>
        <v>0</v>
      </c>
      <c r="L245" s="47">
        <f t="shared" si="38"/>
        <v>0</v>
      </c>
      <c r="M245" s="47">
        <f t="shared" ca="1" si="39"/>
        <v>0</v>
      </c>
      <c r="N245" s="63">
        <f t="shared" si="34"/>
        <v>0</v>
      </c>
    </row>
    <row r="246" spans="1:14">
      <c r="A246" s="42"/>
      <c r="B246" s="43"/>
      <c r="C246" s="44"/>
      <c r="D246" s="44"/>
      <c r="E246" s="44"/>
      <c r="F246" s="44"/>
      <c r="G246" s="44"/>
      <c r="H246" s="45"/>
      <c r="I246" s="46">
        <f t="shared" si="35"/>
        <v>0</v>
      </c>
      <c r="J246" s="47">
        <f t="shared" ca="1" si="36"/>
        <v>0</v>
      </c>
      <c r="K246" s="47">
        <f t="shared" ca="1" si="37"/>
        <v>0</v>
      </c>
      <c r="L246" s="47">
        <f t="shared" si="38"/>
        <v>0</v>
      </c>
      <c r="M246" s="47">
        <f t="shared" ca="1" si="39"/>
        <v>0</v>
      </c>
      <c r="N246" s="63">
        <f t="shared" si="34"/>
        <v>0</v>
      </c>
    </row>
    <row r="247" spans="1:14">
      <c r="A247" s="42"/>
      <c r="B247" s="43"/>
      <c r="C247" s="44"/>
      <c r="D247" s="44"/>
      <c r="E247" s="44"/>
      <c r="F247" s="44"/>
      <c r="G247" s="44"/>
      <c r="H247" s="45"/>
      <c r="I247" s="46">
        <f t="shared" si="35"/>
        <v>0</v>
      </c>
      <c r="J247" s="47">
        <f t="shared" ca="1" si="36"/>
        <v>0</v>
      </c>
      <c r="K247" s="47">
        <f t="shared" ca="1" si="37"/>
        <v>0</v>
      </c>
      <c r="L247" s="47">
        <f t="shared" si="38"/>
        <v>0</v>
      </c>
      <c r="M247" s="47">
        <f t="shared" ca="1" si="39"/>
        <v>0</v>
      </c>
      <c r="N247" s="63">
        <f t="shared" si="34"/>
        <v>0</v>
      </c>
    </row>
    <row r="248" spans="1:14">
      <c r="A248" s="42"/>
      <c r="B248" s="43"/>
      <c r="C248" s="44"/>
      <c r="D248" s="44"/>
      <c r="E248" s="44"/>
      <c r="F248" s="44"/>
      <c r="G248" s="44"/>
      <c r="H248" s="45"/>
      <c r="I248" s="46">
        <f t="shared" si="35"/>
        <v>0</v>
      </c>
      <c r="J248" s="47">
        <f t="shared" ca="1" si="36"/>
        <v>0</v>
      </c>
      <c r="K248" s="47">
        <f t="shared" ca="1" si="37"/>
        <v>0</v>
      </c>
      <c r="L248" s="47">
        <f t="shared" si="38"/>
        <v>0</v>
      </c>
      <c r="M248" s="47">
        <f t="shared" ca="1" si="39"/>
        <v>0</v>
      </c>
      <c r="N248" s="63">
        <f t="shared" si="34"/>
        <v>0</v>
      </c>
    </row>
    <row r="249" spans="1:14">
      <c r="A249" s="42"/>
      <c r="B249" s="43"/>
      <c r="C249" s="44"/>
      <c r="D249" s="44"/>
      <c r="E249" s="44"/>
      <c r="F249" s="44"/>
      <c r="G249" s="44"/>
      <c r="H249" s="45"/>
      <c r="I249" s="46">
        <f t="shared" si="35"/>
        <v>0</v>
      </c>
      <c r="J249" s="47">
        <f t="shared" ref="J249:J280" ca="1" si="40">IF(I249=0,0,IF(B249="TOTAL",0,IF(A249=0,0,INDIRECT(B249))))</f>
        <v>0</v>
      </c>
      <c r="K249" s="47">
        <f t="shared" ref="K249:K280" ca="1" si="41">ROUND(IF(B249="TOTAL",0,IF(A249=0,0,INDIRECT(B249)*A249*I249)),2)</f>
        <v>0</v>
      </c>
      <c r="L249" s="47">
        <f t="shared" ref="L249:L280" si="42">IF(B249="TOTAL",0,IF(A249=0,0,SUM(C249:H249)*A249*ROUND(J249*0.08,2)))</f>
        <v>0</v>
      </c>
      <c r="M249" s="47">
        <f t="shared" ca="1" si="39"/>
        <v>0</v>
      </c>
      <c r="N249" s="63">
        <f t="shared" si="34"/>
        <v>0</v>
      </c>
    </row>
    <row r="250" spans="1:14">
      <c r="A250" s="42"/>
      <c r="B250" s="43"/>
      <c r="C250" s="44"/>
      <c r="D250" s="44"/>
      <c r="E250" s="44"/>
      <c r="F250" s="44"/>
      <c r="G250" s="44"/>
      <c r="H250" s="45"/>
      <c r="I250" s="46">
        <f t="shared" si="35"/>
        <v>0</v>
      </c>
      <c r="J250" s="47">
        <f t="shared" ca="1" si="40"/>
        <v>0</v>
      </c>
      <c r="K250" s="47">
        <f t="shared" ca="1" si="41"/>
        <v>0</v>
      </c>
      <c r="L250" s="47">
        <f t="shared" si="42"/>
        <v>0</v>
      </c>
      <c r="M250" s="47">
        <f t="shared" ca="1" si="39"/>
        <v>0</v>
      </c>
      <c r="N250" s="63">
        <f t="shared" si="34"/>
        <v>0</v>
      </c>
    </row>
    <row r="251" spans="1:14">
      <c r="A251" s="42"/>
      <c r="B251" s="43"/>
      <c r="C251" s="44"/>
      <c r="D251" s="44"/>
      <c r="E251" s="44"/>
      <c r="F251" s="44"/>
      <c r="G251" s="44"/>
      <c r="H251" s="45"/>
      <c r="I251" s="46">
        <f t="shared" si="35"/>
        <v>0</v>
      </c>
      <c r="J251" s="47">
        <f t="shared" ca="1" si="40"/>
        <v>0</v>
      </c>
      <c r="K251" s="47">
        <f t="shared" ca="1" si="41"/>
        <v>0</v>
      </c>
      <c r="L251" s="47">
        <f t="shared" si="42"/>
        <v>0</v>
      </c>
      <c r="M251" s="47">
        <f t="shared" ca="1" si="39"/>
        <v>0</v>
      </c>
      <c r="N251" s="63">
        <f t="shared" si="34"/>
        <v>0</v>
      </c>
    </row>
    <row r="252" spans="1:14">
      <c r="A252" s="42"/>
      <c r="B252" s="43"/>
      <c r="C252" s="44"/>
      <c r="D252" s="44"/>
      <c r="E252" s="44"/>
      <c r="F252" s="44"/>
      <c r="G252" s="44"/>
      <c r="H252" s="45"/>
      <c r="I252" s="46">
        <f t="shared" si="35"/>
        <v>0</v>
      </c>
      <c r="J252" s="47">
        <f t="shared" ca="1" si="40"/>
        <v>0</v>
      </c>
      <c r="K252" s="47">
        <f t="shared" ca="1" si="41"/>
        <v>0</v>
      </c>
      <c r="L252" s="47">
        <f t="shared" si="42"/>
        <v>0</v>
      </c>
      <c r="M252" s="47">
        <f t="shared" ca="1" si="39"/>
        <v>0</v>
      </c>
      <c r="N252" s="63">
        <f t="shared" si="34"/>
        <v>0</v>
      </c>
    </row>
    <row r="253" spans="1:14">
      <c r="A253" s="42"/>
      <c r="B253" s="43"/>
      <c r="C253" s="44"/>
      <c r="D253" s="44"/>
      <c r="E253" s="44"/>
      <c r="F253" s="44"/>
      <c r="G253" s="44"/>
      <c r="H253" s="45"/>
      <c r="I253" s="46">
        <f t="shared" si="35"/>
        <v>0</v>
      </c>
      <c r="J253" s="47">
        <f t="shared" ca="1" si="40"/>
        <v>0</v>
      </c>
      <c r="K253" s="47">
        <f t="shared" ca="1" si="41"/>
        <v>0</v>
      </c>
      <c r="L253" s="47">
        <f t="shared" si="42"/>
        <v>0</v>
      </c>
      <c r="M253" s="47">
        <f t="shared" ca="1" si="39"/>
        <v>0</v>
      </c>
      <c r="N253" s="63">
        <f t="shared" si="34"/>
        <v>0</v>
      </c>
    </row>
    <row r="254" spans="1:14">
      <c r="A254" s="42"/>
      <c r="B254" s="43"/>
      <c r="C254" s="44"/>
      <c r="D254" s="44"/>
      <c r="E254" s="44"/>
      <c r="F254" s="44"/>
      <c r="G254" s="44"/>
      <c r="H254" s="45"/>
      <c r="I254" s="46">
        <f t="shared" si="35"/>
        <v>0</v>
      </c>
      <c r="J254" s="47">
        <f t="shared" ca="1" si="40"/>
        <v>0</v>
      </c>
      <c r="K254" s="47">
        <f t="shared" ca="1" si="41"/>
        <v>0</v>
      </c>
      <c r="L254" s="47">
        <f t="shared" si="42"/>
        <v>0</v>
      </c>
      <c r="M254" s="47">
        <f t="shared" ca="1" si="39"/>
        <v>0</v>
      </c>
      <c r="N254" s="63">
        <f t="shared" si="34"/>
        <v>0</v>
      </c>
    </row>
    <row r="255" spans="1:14">
      <c r="A255" s="42"/>
      <c r="B255" s="43"/>
      <c r="C255" s="44"/>
      <c r="D255" s="44"/>
      <c r="E255" s="44"/>
      <c r="F255" s="44"/>
      <c r="G255" s="44"/>
      <c r="H255" s="45"/>
      <c r="I255" s="46">
        <f t="shared" si="35"/>
        <v>0</v>
      </c>
      <c r="J255" s="47">
        <f t="shared" ca="1" si="40"/>
        <v>0</v>
      </c>
      <c r="K255" s="47">
        <f t="shared" ca="1" si="41"/>
        <v>0</v>
      </c>
      <c r="L255" s="47">
        <f t="shared" si="42"/>
        <v>0</v>
      </c>
      <c r="M255" s="47">
        <f t="shared" ca="1" si="39"/>
        <v>0</v>
      </c>
      <c r="N255" s="63">
        <f t="shared" si="34"/>
        <v>0</v>
      </c>
    </row>
    <row r="256" spans="1:14">
      <c r="A256" s="42"/>
      <c r="B256" s="43"/>
      <c r="C256" s="44"/>
      <c r="D256" s="44"/>
      <c r="E256" s="44"/>
      <c r="F256" s="44"/>
      <c r="G256" s="44"/>
      <c r="H256" s="45"/>
      <c r="I256" s="46">
        <f t="shared" si="35"/>
        <v>0</v>
      </c>
      <c r="J256" s="47">
        <f t="shared" ca="1" si="40"/>
        <v>0</v>
      </c>
      <c r="K256" s="47">
        <f t="shared" ca="1" si="41"/>
        <v>0</v>
      </c>
      <c r="L256" s="47">
        <f t="shared" si="42"/>
        <v>0</v>
      </c>
      <c r="M256" s="47">
        <f t="shared" ca="1" si="39"/>
        <v>0</v>
      </c>
      <c r="N256" s="63">
        <f t="shared" si="34"/>
        <v>0</v>
      </c>
    </row>
    <row r="257" spans="1:14">
      <c r="A257" s="42"/>
      <c r="B257" s="43"/>
      <c r="C257" s="44"/>
      <c r="D257" s="44"/>
      <c r="E257" s="44"/>
      <c r="F257" s="44"/>
      <c r="G257" s="44"/>
      <c r="H257" s="45"/>
      <c r="I257" s="46">
        <f t="shared" si="35"/>
        <v>0</v>
      </c>
      <c r="J257" s="47">
        <f t="shared" ca="1" si="40"/>
        <v>0</v>
      </c>
      <c r="K257" s="47">
        <f t="shared" ca="1" si="41"/>
        <v>0</v>
      </c>
      <c r="L257" s="47">
        <f t="shared" si="42"/>
        <v>0</v>
      </c>
      <c r="M257" s="47">
        <f t="shared" ca="1" si="39"/>
        <v>0</v>
      </c>
      <c r="N257" s="63">
        <f t="shared" si="34"/>
        <v>0</v>
      </c>
    </row>
    <row r="258" spans="1:14">
      <c r="A258" s="42"/>
      <c r="B258" s="43"/>
      <c r="C258" s="44"/>
      <c r="D258" s="44"/>
      <c r="E258" s="44"/>
      <c r="F258" s="44"/>
      <c r="G258" s="44"/>
      <c r="H258" s="45"/>
      <c r="I258" s="46">
        <f t="shared" si="35"/>
        <v>0</v>
      </c>
      <c r="J258" s="47">
        <f t="shared" ca="1" si="40"/>
        <v>0</v>
      </c>
      <c r="K258" s="47">
        <f t="shared" ca="1" si="41"/>
        <v>0</v>
      </c>
      <c r="L258" s="47">
        <f t="shared" si="42"/>
        <v>0</v>
      </c>
      <c r="M258" s="47">
        <f t="shared" ca="1" si="39"/>
        <v>0</v>
      </c>
      <c r="N258" s="63">
        <f t="shared" si="34"/>
        <v>0</v>
      </c>
    </row>
    <row r="259" spans="1:14">
      <c r="A259" s="42"/>
      <c r="B259" s="43"/>
      <c r="C259" s="44"/>
      <c r="D259" s="44"/>
      <c r="E259" s="44"/>
      <c r="F259" s="44"/>
      <c r="G259" s="44"/>
      <c r="H259" s="45"/>
      <c r="I259" s="46">
        <f t="shared" si="35"/>
        <v>0</v>
      </c>
      <c r="J259" s="47">
        <f t="shared" ca="1" si="40"/>
        <v>0</v>
      </c>
      <c r="K259" s="47">
        <f t="shared" ca="1" si="41"/>
        <v>0</v>
      </c>
      <c r="L259" s="47">
        <f t="shared" si="42"/>
        <v>0</v>
      </c>
      <c r="M259" s="47">
        <f t="shared" ca="1" si="39"/>
        <v>0</v>
      </c>
      <c r="N259" s="63">
        <f t="shared" si="34"/>
        <v>0</v>
      </c>
    </row>
    <row r="260" spans="1:14">
      <c r="A260" s="42"/>
      <c r="B260" s="43"/>
      <c r="C260" s="44"/>
      <c r="D260" s="44"/>
      <c r="E260" s="44"/>
      <c r="F260" s="44"/>
      <c r="G260" s="44"/>
      <c r="H260" s="45"/>
      <c r="I260" s="46">
        <f t="shared" si="35"/>
        <v>0</v>
      </c>
      <c r="J260" s="47">
        <f t="shared" ca="1" si="40"/>
        <v>0</v>
      </c>
      <c r="K260" s="47">
        <f t="shared" ca="1" si="41"/>
        <v>0</v>
      </c>
      <c r="L260" s="47">
        <f t="shared" si="42"/>
        <v>0</v>
      </c>
      <c r="M260" s="47">
        <f t="shared" ca="1" si="39"/>
        <v>0</v>
      </c>
      <c r="N260" s="63">
        <f t="shared" si="34"/>
        <v>0</v>
      </c>
    </row>
    <row r="261" spans="1:14">
      <c r="A261" s="42"/>
      <c r="B261" s="43"/>
      <c r="C261" s="44"/>
      <c r="D261" s="44"/>
      <c r="E261" s="44"/>
      <c r="F261" s="44"/>
      <c r="G261" s="44"/>
      <c r="H261" s="45"/>
      <c r="I261" s="46">
        <f t="shared" si="35"/>
        <v>0</v>
      </c>
      <c r="J261" s="47">
        <f t="shared" ca="1" si="40"/>
        <v>0</v>
      </c>
      <c r="K261" s="47">
        <f t="shared" ca="1" si="41"/>
        <v>0</v>
      </c>
      <c r="L261" s="47">
        <f t="shared" si="42"/>
        <v>0</v>
      </c>
      <c r="M261" s="47">
        <f t="shared" ca="1" si="39"/>
        <v>0</v>
      </c>
      <c r="N261" s="63">
        <f t="shared" si="34"/>
        <v>0</v>
      </c>
    </row>
    <row r="262" spans="1:14">
      <c r="A262" s="42"/>
      <c r="B262" s="43"/>
      <c r="C262" s="44"/>
      <c r="D262" s="44"/>
      <c r="E262" s="44"/>
      <c r="F262" s="44"/>
      <c r="G262" s="44"/>
      <c r="H262" s="45"/>
      <c r="I262" s="46">
        <f t="shared" si="35"/>
        <v>0</v>
      </c>
      <c r="J262" s="47">
        <f t="shared" ca="1" si="40"/>
        <v>0</v>
      </c>
      <c r="K262" s="47">
        <f t="shared" ca="1" si="41"/>
        <v>0</v>
      </c>
      <c r="L262" s="47">
        <f t="shared" si="42"/>
        <v>0</v>
      </c>
      <c r="M262" s="47">
        <f t="shared" ca="1" si="39"/>
        <v>0</v>
      </c>
      <c r="N262" s="63">
        <f t="shared" si="34"/>
        <v>0</v>
      </c>
    </row>
    <row r="263" spans="1:14">
      <c r="A263" s="42"/>
      <c r="B263" s="43"/>
      <c r="C263" s="44"/>
      <c r="D263" s="44"/>
      <c r="E263" s="44"/>
      <c r="F263" s="44"/>
      <c r="G263" s="44"/>
      <c r="H263" s="45"/>
      <c r="I263" s="46">
        <f t="shared" si="35"/>
        <v>0</v>
      </c>
      <c r="J263" s="47">
        <f t="shared" ca="1" si="40"/>
        <v>0</v>
      </c>
      <c r="K263" s="47">
        <f t="shared" ca="1" si="41"/>
        <v>0</v>
      </c>
      <c r="L263" s="47">
        <f t="shared" si="42"/>
        <v>0</v>
      </c>
      <c r="M263" s="47">
        <f t="shared" ca="1" si="39"/>
        <v>0</v>
      </c>
      <c r="N263" s="63">
        <f t="shared" si="34"/>
        <v>0</v>
      </c>
    </row>
    <row r="264" spans="1:14">
      <c r="A264" s="42"/>
      <c r="B264" s="43"/>
      <c r="C264" s="44"/>
      <c r="D264" s="44"/>
      <c r="E264" s="44"/>
      <c r="F264" s="44"/>
      <c r="G264" s="44"/>
      <c r="H264" s="45"/>
      <c r="I264" s="46">
        <f t="shared" si="35"/>
        <v>0</v>
      </c>
      <c r="J264" s="47">
        <f t="shared" ca="1" si="40"/>
        <v>0</v>
      </c>
      <c r="K264" s="47">
        <f t="shared" ca="1" si="41"/>
        <v>0</v>
      </c>
      <c r="L264" s="47">
        <f t="shared" si="42"/>
        <v>0</v>
      </c>
      <c r="M264" s="47">
        <f t="shared" ca="1" si="39"/>
        <v>0</v>
      </c>
      <c r="N264" s="63">
        <f t="shared" si="34"/>
        <v>0</v>
      </c>
    </row>
    <row r="265" spans="1:14">
      <c r="A265" s="42"/>
      <c r="B265" s="43"/>
      <c r="C265" s="44"/>
      <c r="D265" s="44"/>
      <c r="E265" s="44"/>
      <c r="F265" s="44"/>
      <c r="G265" s="44"/>
      <c r="H265" s="45"/>
      <c r="I265" s="46">
        <f t="shared" si="35"/>
        <v>0</v>
      </c>
      <c r="J265" s="47">
        <f t="shared" ca="1" si="40"/>
        <v>0</v>
      </c>
      <c r="K265" s="47">
        <f t="shared" ca="1" si="41"/>
        <v>0</v>
      </c>
      <c r="L265" s="47">
        <f t="shared" si="42"/>
        <v>0</v>
      </c>
      <c r="M265" s="47">
        <f t="shared" ca="1" si="39"/>
        <v>0</v>
      </c>
      <c r="N265" s="63">
        <f t="shared" si="34"/>
        <v>0</v>
      </c>
    </row>
    <row r="266" spans="1:14">
      <c r="A266" s="42"/>
      <c r="B266" s="43"/>
      <c r="C266" s="44"/>
      <c r="D266" s="44"/>
      <c r="E266" s="44"/>
      <c r="F266" s="44"/>
      <c r="G266" s="44"/>
      <c r="H266" s="45"/>
      <c r="I266" s="46">
        <f t="shared" si="35"/>
        <v>0</v>
      </c>
      <c r="J266" s="47">
        <f t="shared" ca="1" si="40"/>
        <v>0</v>
      </c>
      <c r="K266" s="47">
        <f t="shared" ca="1" si="41"/>
        <v>0</v>
      </c>
      <c r="L266" s="47">
        <f t="shared" si="42"/>
        <v>0</v>
      </c>
      <c r="M266" s="47">
        <f t="shared" ca="1" si="39"/>
        <v>0</v>
      </c>
      <c r="N266" s="63">
        <f t="shared" si="34"/>
        <v>0</v>
      </c>
    </row>
    <row r="267" spans="1:14">
      <c r="A267" s="42"/>
      <c r="B267" s="43"/>
      <c r="C267" s="44"/>
      <c r="D267" s="44"/>
      <c r="E267" s="44"/>
      <c r="F267" s="44"/>
      <c r="G267" s="44"/>
      <c r="H267" s="45"/>
      <c r="I267" s="46">
        <f t="shared" si="35"/>
        <v>0</v>
      </c>
      <c r="J267" s="47">
        <f t="shared" ca="1" si="40"/>
        <v>0</v>
      </c>
      <c r="K267" s="47">
        <f t="shared" ca="1" si="41"/>
        <v>0</v>
      </c>
      <c r="L267" s="47">
        <f t="shared" si="42"/>
        <v>0</v>
      </c>
      <c r="M267" s="47">
        <f t="shared" ca="1" si="39"/>
        <v>0</v>
      </c>
      <c r="N267" s="63">
        <f t="shared" si="34"/>
        <v>0</v>
      </c>
    </row>
    <row r="268" spans="1:14">
      <c r="A268" s="42"/>
      <c r="B268" s="43"/>
      <c r="C268" s="44"/>
      <c r="D268" s="44"/>
      <c r="E268" s="44"/>
      <c r="F268" s="44"/>
      <c r="G268" s="44"/>
      <c r="H268" s="45"/>
      <c r="I268" s="46">
        <f t="shared" si="35"/>
        <v>0</v>
      </c>
      <c r="J268" s="47">
        <f t="shared" ca="1" si="40"/>
        <v>0</v>
      </c>
      <c r="K268" s="47">
        <f t="shared" ca="1" si="41"/>
        <v>0</v>
      </c>
      <c r="L268" s="47">
        <f t="shared" si="42"/>
        <v>0</v>
      </c>
      <c r="M268" s="47">
        <f t="shared" ca="1" si="39"/>
        <v>0</v>
      </c>
      <c r="N268" s="63">
        <f t="shared" si="34"/>
        <v>0</v>
      </c>
    </row>
    <row r="269" spans="1:14">
      <c r="A269" s="42"/>
      <c r="B269" s="43"/>
      <c r="C269" s="44"/>
      <c r="D269" s="44"/>
      <c r="E269" s="44"/>
      <c r="F269" s="44"/>
      <c r="G269" s="44"/>
      <c r="H269" s="45"/>
      <c r="I269" s="46">
        <f t="shared" si="35"/>
        <v>0</v>
      </c>
      <c r="J269" s="47">
        <f t="shared" ca="1" si="40"/>
        <v>0</v>
      </c>
      <c r="K269" s="47">
        <f t="shared" ca="1" si="41"/>
        <v>0</v>
      </c>
      <c r="L269" s="47">
        <f t="shared" si="42"/>
        <v>0</v>
      </c>
      <c r="M269" s="47">
        <f t="shared" ca="1" si="39"/>
        <v>0</v>
      </c>
      <c r="N269" s="63">
        <f t="shared" si="34"/>
        <v>0</v>
      </c>
    </row>
    <row r="270" spans="1:14">
      <c r="A270" s="42"/>
      <c r="B270" s="43"/>
      <c r="C270" s="44"/>
      <c r="D270" s="44"/>
      <c r="E270" s="44"/>
      <c r="F270" s="44"/>
      <c r="G270" s="44"/>
      <c r="H270" s="45"/>
      <c r="I270" s="46">
        <f t="shared" si="35"/>
        <v>0</v>
      </c>
      <c r="J270" s="47">
        <f t="shared" ca="1" si="40"/>
        <v>0</v>
      </c>
      <c r="K270" s="47">
        <f t="shared" ca="1" si="41"/>
        <v>0</v>
      </c>
      <c r="L270" s="47">
        <f t="shared" si="42"/>
        <v>0</v>
      </c>
      <c r="M270" s="47">
        <f t="shared" ca="1" si="39"/>
        <v>0</v>
      </c>
      <c r="N270" s="63">
        <f t="shared" si="34"/>
        <v>0</v>
      </c>
    </row>
    <row r="271" spans="1:14">
      <c r="A271" s="42"/>
      <c r="B271" s="43"/>
      <c r="C271" s="44"/>
      <c r="D271" s="44"/>
      <c r="E271" s="44"/>
      <c r="F271" s="44"/>
      <c r="G271" s="44"/>
      <c r="H271" s="45"/>
      <c r="I271" s="46">
        <f t="shared" si="35"/>
        <v>0</v>
      </c>
      <c r="J271" s="47">
        <f t="shared" ca="1" si="40"/>
        <v>0</v>
      </c>
      <c r="K271" s="47">
        <f t="shared" ca="1" si="41"/>
        <v>0</v>
      </c>
      <c r="L271" s="47">
        <f t="shared" si="42"/>
        <v>0</v>
      </c>
      <c r="M271" s="47">
        <f t="shared" ca="1" si="39"/>
        <v>0</v>
      </c>
      <c r="N271" s="63">
        <f t="shared" si="34"/>
        <v>0</v>
      </c>
    </row>
    <row r="272" spans="1:14">
      <c r="A272" s="42"/>
      <c r="B272" s="43"/>
      <c r="C272" s="44"/>
      <c r="D272" s="44"/>
      <c r="E272" s="44"/>
      <c r="F272" s="44"/>
      <c r="G272" s="44"/>
      <c r="H272" s="45"/>
      <c r="I272" s="46">
        <f t="shared" si="35"/>
        <v>0</v>
      </c>
      <c r="J272" s="47">
        <f t="shared" ca="1" si="40"/>
        <v>0</v>
      </c>
      <c r="K272" s="47">
        <f t="shared" ca="1" si="41"/>
        <v>0</v>
      </c>
      <c r="L272" s="47">
        <f t="shared" si="42"/>
        <v>0</v>
      </c>
      <c r="M272" s="47">
        <f t="shared" ca="1" si="39"/>
        <v>0</v>
      </c>
      <c r="N272" s="63">
        <f t="shared" si="34"/>
        <v>0</v>
      </c>
    </row>
    <row r="273" spans="1:14">
      <c r="A273" s="42"/>
      <c r="B273" s="43"/>
      <c r="C273" s="44"/>
      <c r="D273" s="44"/>
      <c r="E273" s="44"/>
      <c r="F273" s="44"/>
      <c r="G273" s="44"/>
      <c r="H273" s="45"/>
      <c r="I273" s="46">
        <f t="shared" si="35"/>
        <v>0</v>
      </c>
      <c r="J273" s="47">
        <f t="shared" ca="1" si="40"/>
        <v>0</v>
      </c>
      <c r="K273" s="47">
        <f t="shared" ca="1" si="41"/>
        <v>0</v>
      </c>
      <c r="L273" s="47">
        <f t="shared" si="42"/>
        <v>0</v>
      </c>
      <c r="M273" s="47">
        <f t="shared" ca="1" si="39"/>
        <v>0</v>
      </c>
      <c r="N273" s="63">
        <f t="shared" si="34"/>
        <v>0</v>
      </c>
    </row>
    <row r="274" spans="1:14">
      <c r="A274" s="42"/>
      <c r="B274" s="43"/>
      <c r="C274" s="44"/>
      <c r="D274" s="44"/>
      <c r="E274" s="44"/>
      <c r="F274" s="44"/>
      <c r="G274" s="44"/>
      <c r="H274" s="45"/>
      <c r="I274" s="46">
        <f t="shared" si="35"/>
        <v>0</v>
      </c>
      <c r="J274" s="47">
        <f t="shared" ca="1" si="40"/>
        <v>0</v>
      </c>
      <c r="K274" s="47">
        <f t="shared" ca="1" si="41"/>
        <v>0</v>
      </c>
      <c r="L274" s="47">
        <f t="shared" si="42"/>
        <v>0</v>
      </c>
      <c r="M274" s="47">
        <f t="shared" ca="1" si="39"/>
        <v>0</v>
      </c>
      <c r="N274" s="63">
        <f t="shared" si="34"/>
        <v>0</v>
      </c>
    </row>
    <row r="275" spans="1:14">
      <c r="A275" s="42"/>
      <c r="B275" s="43"/>
      <c r="C275" s="44"/>
      <c r="D275" s="44"/>
      <c r="E275" s="44"/>
      <c r="F275" s="44"/>
      <c r="G275" s="44"/>
      <c r="H275" s="45"/>
      <c r="I275" s="46">
        <f t="shared" si="35"/>
        <v>0</v>
      </c>
      <c r="J275" s="47">
        <f t="shared" ca="1" si="40"/>
        <v>0</v>
      </c>
      <c r="K275" s="47">
        <f t="shared" ca="1" si="41"/>
        <v>0</v>
      </c>
      <c r="L275" s="47">
        <f t="shared" si="42"/>
        <v>0</v>
      </c>
      <c r="M275" s="47">
        <f t="shared" ca="1" si="39"/>
        <v>0</v>
      </c>
      <c r="N275" s="63">
        <f t="shared" si="34"/>
        <v>0</v>
      </c>
    </row>
    <row r="276" spans="1:14">
      <c r="A276" s="42"/>
      <c r="B276" s="43"/>
      <c r="C276" s="44"/>
      <c r="D276" s="44"/>
      <c r="E276" s="44"/>
      <c r="F276" s="44"/>
      <c r="G276" s="44"/>
      <c r="H276" s="45"/>
      <c r="I276" s="46">
        <f t="shared" si="35"/>
        <v>0</v>
      </c>
      <c r="J276" s="47">
        <f t="shared" ca="1" si="40"/>
        <v>0</v>
      </c>
      <c r="K276" s="47">
        <f t="shared" ca="1" si="41"/>
        <v>0</v>
      </c>
      <c r="L276" s="47">
        <f t="shared" si="42"/>
        <v>0</v>
      </c>
      <c r="M276" s="47">
        <f t="shared" ca="1" si="39"/>
        <v>0</v>
      </c>
      <c r="N276" s="63">
        <f t="shared" si="34"/>
        <v>0</v>
      </c>
    </row>
    <row r="277" spans="1:14">
      <c r="A277" s="42"/>
      <c r="B277" s="43"/>
      <c r="C277" s="44"/>
      <c r="D277" s="44"/>
      <c r="E277" s="44"/>
      <c r="F277" s="44"/>
      <c r="G277" s="44"/>
      <c r="H277" s="45"/>
      <c r="I277" s="46">
        <f t="shared" si="35"/>
        <v>0</v>
      </c>
      <c r="J277" s="47">
        <f t="shared" ca="1" si="40"/>
        <v>0</v>
      </c>
      <c r="K277" s="47">
        <f t="shared" ca="1" si="41"/>
        <v>0</v>
      </c>
      <c r="L277" s="47">
        <f t="shared" si="42"/>
        <v>0</v>
      </c>
      <c r="M277" s="47">
        <f t="shared" ca="1" si="39"/>
        <v>0</v>
      </c>
      <c r="N277" s="63">
        <f t="shared" si="34"/>
        <v>0</v>
      </c>
    </row>
    <row r="278" spans="1:14">
      <c r="A278" s="42"/>
      <c r="B278" s="43"/>
      <c r="C278" s="44"/>
      <c r="D278" s="44"/>
      <c r="E278" s="44"/>
      <c r="F278" s="44"/>
      <c r="G278" s="44"/>
      <c r="H278" s="45"/>
      <c r="I278" s="46">
        <f t="shared" si="35"/>
        <v>0</v>
      </c>
      <c r="J278" s="47">
        <f t="shared" ca="1" si="40"/>
        <v>0</v>
      </c>
      <c r="K278" s="47">
        <f t="shared" ca="1" si="41"/>
        <v>0</v>
      </c>
      <c r="L278" s="47">
        <f t="shared" si="42"/>
        <v>0</v>
      </c>
      <c r="M278" s="47">
        <f t="shared" ca="1" si="39"/>
        <v>0</v>
      </c>
      <c r="N278" s="63">
        <f t="shared" si="34"/>
        <v>0</v>
      </c>
    </row>
    <row r="279" spans="1:14">
      <c r="A279" s="42"/>
      <c r="B279" s="43"/>
      <c r="C279" s="44"/>
      <c r="D279" s="44"/>
      <c r="E279" s="44"/>
      <c r="F279" s="44"/>
      <c r="G279" s="44"/>
      <c r="H279" s="45"/>
      <c r="I279" s="46">
        <f t="shared" si="35"/>
        <v>0</v>
      </c>
      <c r="J279" s="47">
        <f t="shared" ca="1" si="40"/>
        <v>0</v>
      </c>
      <c r="K279" s="47">
        <f t="shared" ca="1" si="41"/>
        <v>0</v>
      </c>
      <c r="L279" s="47">
        <f t="shared" si="42"/>
        <v>0</v>
      </c>
      <c r="M279" s="47">
        <f t="shared" ca="1" si="39"/>
        <v>0</v>
      </c>
      <c r="N279" s="63">
        <f t="shared" si="34"/>
        <v>0</v>
      </c>
    </row>
    <row r="280" spans="1:14">
      <c r="A280" s="42"/>
      <c r="B280" s="43"/>
      <c r="C280" s="44"/>
      <c r="D280" s="44"/>
      <c r="E280" s="44"/>
      <c r="F280" s="44"/>
      <c r="G280" s="44"/>
      <c r="H280" s="45"/>
      <c r="I280" s="46">
        <f t="shared" si="35"/>
        <v>0</v>
      </c>
      <c r="J280" s="47">
        <f t="shared" ca="1" si="40"/>
        <v>0</v>
      </c>
      <c r="K280" s="47">
        <f t="shared" ca="1" si="41"/>
        <v>0</v>
      </c>
      <c r="L280" s="47">
        <f t="shared" si="42"/>
        <v>0</v>
      </c>
      <c r="M280" s="47">
        <f t="shared" ca="1" si="39"/>
        <v>0</v>
      </c>
      <c r="N280" s="63">
        <f t="shared" ref="N280:N286" si="43">IF(I280=0,0,SUM(C280:H280))*A280</f>
        <v>0</v>
      </c>
    </row>
    <row r="281" spans="1:14">
      <c r="A281" s="42"/>
      <c r="B281" s="43"/>
      <c r="C281" s="44"/>
      <c r="D281" s="44"/>
      <c r="E281" s="44"/>
      <c r="F281" s="44"/>
      <c r="G281" s="44"/>
      <c r="H281" s="45"/>
      <c r="I281" s="46">
        <f t="shared" ref="I281:I286" si="44">C281+1.5*D281+1.5*E281+2.25*F281+2*G281+3*H281</f>
        <v>0</v>
      </c>
      <c r="J281" s="47">
        <f t="shared" ref="J281:J286" ca="1" si="45">IF(I281=0,0,IF(B281="TOTAL",0,IF(A281=0,0,INDIRECT(B281))))</f>
        <v>0</v>
      </c>
      <c r="K281" s="47">
        <f t="shared" ref="K281:K286" ca="1" si="46">ROUND(IF(B281="TOTAL",0,IF(A281=0,0,INDIRECT(B281)*A281*I281)),2)</f>
        <v>0</v>
      </c>
      <c r="L281" s="47">
        <f t="shared" ref="L281:L286" si="47">IF(B281="TOTAL",0,IF(A281=0,0,SUM(C281:H281)*A281*ROUND(J281*0.08,2)))</f>
        <v>0</v>
      </c>
      <c r="M281" s="47">
        <f t="shared" ref="M281:M286" ca="1" si="48">K281+L281</f>
        <v>0</v>
      </c>
      <c r="N281" s="63">
        <f t="shared" si="43"/>
        <v>0</v>
      </c>
    </row>
    <row r="282" spans="1:14">
      <c r="A282" s="42"/>
      <c r="B282" s="43"/>
      <c r="C282" s="44"/>
      <c r="D282" s="44"/>
      <c r="E282" s="44"/>
      <c r="F282" s="44"/>
      <c r="G282" s="44"/>
      <c r="H282" s="45"/>
      <c r="I282" s="46">
        <f t="shared" si="44"/>
        <v>0</v>
      </c>
      <c r="J282" s="47">
        <f t="shared" ca="1" si="45"/>
        <v>0</v>
      </c>
      <c r="K282" s="47">
        <f t="shared" ca="1" si="46"/>
        <v>0</v>
      </c>
      <c r="L282" s="47">
        <f t="shared" si="47"/>
        <v>0</v>
      </c>
      <c r="M282" s="47">
        <f t="shared" ca="1" si="48"/>
        <v>0</v>
      </c>
      <c r="N282" s="63">
        <f t="shared" si="43"/>
        <v>0</v>
      </c>
    </row>
    <row r="283" spans="1:14">
      <c r="A283" s="42"/>
      <c r="B283" s="43"/>
      <c r="C283" s="44"/>
      <c r="D283" s="44"/>
      <c r="E283" s="44"/>
      <c r="F283" s="44"/>
      <c r="G283" s="44"/>
      <c r="H283" s="45"/>
      <c r="I283" s="46">
        <f t="shared" si="44"/>
        <v>0</v>
      </c>
      <c r="J283" s="47">
        <f t="shared" ca="1" si="45"/>
        <v>0</v>
      </c>
      <c r="K283" s="47">
        <f t="shared" ca="1" si="46"/>
        <v>0</v>
      </c>
      <c r="L283" s="47">
        <f t="shared" si="47"/>
        <v>0</v>
      </c>
      <c r="M283" s="47">
        <f t="shared" ca="1" si="48"/>
        <v>0</v>
      </c>
      <c r="N283" s="63">
        <f t="shared" si="43"/>
        <v>0</v>
      </c>
    </row>
    <row r="284" spans="1:14">
      <c r="A284" s="42"/>
      <c r="B284" s="43"/>
      <c r="C284" s="44"/>
      <c r="D284" s="44"/>
      <c r="E284" s="44"/>
      <c r="F284" s="44"/>
      <c r="G284" s="44"/>
      <c r="H284" s="45"/>
      <c r="I284" s="46">
        <f t="shared" si="44"/>
        <v>0</v>
      </c>
      <c r="J284" s="47">
        <f t="shared" ca="1" si="45"/>
        <v>0</v>
      </c>
      <c r="K284" s="47">
        <f t="shared" ca="1" si="46"/>
        <v>0</v>
      </c>
      <c r="L284" s="47">
        <f t="shared" si="47"/>
        <v>0</v>
      </c>
      <c r="M284" s="47">
        <f t="shared" ca="1" si="48"/>
        <v>0</v>
      </c>
      <c r="N284" s="63">
        <f t="shared" si="43"/>
        <v>0</v>
      </c>
    </row>
    <row r="285" spans="1:14">
      <c r="A285" s="42"/>
      <c r="B285" s="43"/>
      <c r="C285" s="44"/>
      <c r="D285" s="44"/>
      <c r="E285" s="44"/>
      <c r="F285" s="44"/>
      <c r="G285" s="44"/>
      <c r="H285" s="45"/>
      <c r="I285" s="46">
        <f t="shared" si="44"/>
        <v>0</v>
      </c>
      <c r="J285" s="47">
        <f t="shared" ca="1" si="45"/>
        <v>0</v>
      </c>
      <c r="K285" s="47">
        <f t="shared" ca="1" si="46"/>
        <v>0</v>
      </c>
      <c r="L285" s="47">
        <f t="shared" si="47"/>
        <v>0</v>
      </c>
      <c r="M285" s="47">
        <f t="shared" ca="1" si="48"/>
        <v>0</v>
      </c>
      <c r="N285" s="63">
        <f t="shared" si="43"/>
        <v>0</v>
      </c>
    </row>
    <row r="286" spans="1:14" ht="17" thickBot="1">
      <c r="A286" s="48"/>
      <c r="B286" s="49"/>
      <c r="C286" s="50"/>
      <c r="D286" s="50"/>
      <c r="E286" s="50"/>
      <c r="F286" s="50"/>
      <c r="G286" s="50"/>
      <c r="H286" s="51"/>
      <c r="I286" s="52">
        <f t="shared" si="44"/>
        <v>0</v>
      </c>
      <c r="J286" s="53">
        <f t="shared" ca="1" si="45"/>
        <v>0</v>
      </c>
      <c r="K286" s="53">
        <f t="shared" ca="1" si="46"/>
        <v>0</v>
      </c>
      <c r="L286" s="53">
        <f t="shared" si="47"/>
        <v>0</v>
      </c>
      <c r="M286" s="53">
        <f t="shared" ca="1" si="48"/>
        <v>0</v>
      </c>
      <c r="N286" s="63">
        <f t="shared" si="43"/>
        <v>0</v>
      </c>
    </row>
    <row r="287" spans="1:14" ht="17" thickTop="1">
      <c r="N287" s="63">
        <f>SUM(N30:N70)+SUM(N73:N142)+SUM(N145:N214)+SUM(N217:N286)</f>
        <v>0</v>
      </c>
    </row>
  </sheetData>
  <mergeCells count="2">
    <mergeCell ref="H3:M3"/>
    <mergeCell ref="Q14:R14"/>
  </mergeCells>
  <phoneticPr fontId="11" type="noConversion"/>
  <conditionalFormatting sqref="C5 C7:C12 C14 C3">
    <cfRule type="expression" dxfId="0" priority="1" stopIfTrue="1">
      <formula>0</formula>
    </cfRule>
  </conditionalFormatting>
  <printOptions horizontalCentered="1" verticalCentered="1" gridLinesSet="0"/>
  <pageMargins left="0.25" right="0.25" top="0.5" bottom="0.5" header="0.5" footer="0.5"/>
  <pageSetup scale="47" orientation="portrait" horizontalDpi="4294967292" verticalDpi="4294967292"/>
  <headerFooter>
    <oddHeader>IA CREW ESTIMATE</oddHeader>
    <oddFooter>&amp;L&amp;D&amp;C&amp;P&amp;R&amp;F</oddFooter>
  </headerFooter>
  <rowBreaks count="2" manualBreakCount="2">
    <brk id="142" max="65535" man="1"/>
    <brk id="214" max="65535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IA CREW ESTIMATE</dc:title>
  <dc:creator>Joe</dc:creator>
  <cp:lastModifiedBy>Alex Livland</cp:lastModifiedBy>
  <cp:lastPrinted>2007-03-01T19:57:50Z</cp:lastPrinted>
  <dcterms:created xsi:type="dcterms:W3CDTF">2001-07-30T21:48:22Z</dcterms:created>
  <dcterms:modified xsi:type="dcterms:W3CDTF">2017-01-10T19:32:59Z</dcterms:modified>
</cp:coreProperties>
</file>